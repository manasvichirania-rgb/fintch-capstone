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erchants" sheetId="2" state="visible" r:id="rId2"/>
    <sheet xmlns:r="http://schemas.openxmlformats.org/officeDocument/2006/relationships" name="Fee_Tiers" sheetId="3" state="visible" r:id="rId3"/>
    <sheet xmlns:r="http://schemas.openxmlformats.org/officeDocument/2006/relationships" name="Daily_Merchant" sheetId="4" state="visible" r:id="rId4"/>
    <sheet xmlns:r="http://schemas.openxmlformats.org/officeDocument/2006/relationships" name="Transactions_View" sheetId="5" state="visible" r:id="rId5"/>
    <sheet xmlns:r="http://schemas.openxmlformats.org/officeDocument/2006/relationships" name="Pivot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"/>
  </numFmts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color rgb="00FFFFFF"/>
    </font>
    <font>
      <name val="Arial"/>
      <b val="1"/>
      <i val="1"/>
      <sz val="10"/>
    </font>
    <font>
      <name val="Arial"/>
      <i val="1"/>
      <color rgb="00555555"/>
      <sz val="9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2E2E40"/>
        <bgColor rgb="002E2E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10" fontId="2" fillId="0" borderId="0" pivotButton="0" quotePrefix="0" xfId="0"/>
    <xf numFmtId="0" fontId="5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165" fontId="2" fillId="0" borderId="0" pivotButton="0" quotePrefix="0" xfId="0"/>
    <xf numFmtId="0" fontId="6" fillId="0" borderId="0" pivotButton="0" quotePrefix="0" xfId="0"/>
    <xf numFmtId="2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Merchant Workbook — Paytm Payments &amp; Fraud Analytics (Part 1A)</t>
        </is>
      </c>
    </row>
    <row r="2">
      <c r="A2" s="2" t="inlineStr"/>
    </row>
    <row r="3">
      <c r="A3" s="2" t="inlineStr">
        <is>
          <t>Sheets in the workbook:</t>
        </is>
      </c>
    </row>
    <row r="4">
      <c r="A4" s="2" t="inlineStr">
        <is>
          <t xml:space="preserve">  Merchants          - reference table of the 40 merchants (id, name, category, region)</t>
        </is>
      </c>
    </row>
    <row r="5">
      <c r="A5" s="2" t="inlineStr">
        <is>
          <t xml:space="preserve">  Transactions_View  - all 547 ledger transactions with VLOOKUP-derived merchant fields,</t>
        </is>
      </c>
    </row>
    <row r="6">
      <c r="A6" s="2" t="inlineStr">
        <is>
          <t xml:space="preserve">                       an HLOOKUP-derived payment-method fee tier, and the nested</t>
        </is>
      </c>
    </row>
    <row r="7">
      <c r="A7" s="2" t="inlineStr">
        <is>
          <t xml:space="preserve">                       IF/AND 'High-Value Merchant Day' classification</t>
        </is>
      </c>
    </row>
    <row r="8">
      <c r="A8" s="2" t="inlineStr">
        <is>
          <t xml:space="preserve">  Fee_Tiers          - horizontal MDR-style fee-tier reference table (HLOOKUP source)</t>
        </is>
      </c>
    </row>
    <row r="9">
      <c r="A9" s="2" t="inlineStr">
        <is>
          <t xml:space="preserve">  Daily_Merchant     - one row per (merchant_id, date) with a live SUMIFS daily total;</t>
        </is>
      </c>
    </row>
    <row r="10">
      <c r="A10" s="2" t="inlineStr">
        <is>
          <t xml:space="preserve">                       this is the table the classification rule reads its daily total from</t>
        </is>
      </c>
    </row>
    <row r="11">
      <c r="A11" s="2" t="inlineStr">
        <is>
          <t xml:space="preserve">  Pivot_Summary      - total amount_inr + transaction count by merchant_id and status,</t>
        </is>
      </c>
    </row>
    <row r="12">
      <c r="A12" s="2" t="inlineStr">
        <is>
          <t xml:space="preserve">                       plus a transaction-count-vs-unique-days comparison per merchant</t>
        </is>
      </c>
    </row>
    <row r="13">
      <c r="A13" s="2" t="inlineStr"/>
    </row>
    <row r="14">
      <c r="A14" s="2" t="inlineStr">
        <is>
          <t>Notes on the setup:</t>
        </is>
      </c>
    </row>
    <row r="15">
      <c r="A15" s="2" t="inlineStr"/>
    </row>
    <row r="16">
      <c r="A16" s="2" t="inlineStr">
        <is>
          <t>1. Fee tiers (HLOOKUP, Fee_Tiers sheet): UPI 0.30%, Wallet 0.60%, Card 1.80%,</t>
        </is>
      </c>
    </row>
    <row r="17">
      <c r="A17" s="2" t="inlineStr">
        <is>
          <t xml:space="preserve">   Netbanking 0.90%. These are illustrative assumptions for this project,</t>
        </is>
      </c>
    </row>
    <row r="18">
      <c r="A18" s="2" t="inlineStr">
        <is>
          <t xml:space="preserve">   not real Paytm MDR rates.</t>
        </is>
      </c>
    </row>
    <row r="19">
      <c r="A19" s="2" t="inlineStr"/>
    </row>
    <row r="20">
      <c r="A20" s="2" t="inlineStr">
        <is>
          <t>2. 'High-Value Merchant Day' classification rule (nested IF/AND, Transactions_View</t>
        </is>
      </c>
    </row>
    <row r="21">
      <c r="A21" s="2" t="inlineStr">
        <is>
          <t xml:space="preserve">   column O): a transaction is labeled 'High-Value Merchant Day' when its merchant's</t>
        </is>
      </c>
    </row>
    <row r="22">
      <c r="A22" s="2" t="inlineStr">
        <is>
          <t xml:space="preserve">   TOTAL transaction amount on that CALENDAR DAY exceeds INR 5,000 AND the merchant's</t>
        </is>
      </c>
    </row>
    <row r="23">
      <c r="A23" s="2" t="inlineStr">
        <is>
          <t xml:space="preserve">   region is NOT 'East'. The daily total is pulled from the Daily_Merchant table</t>
        </is>
      </c>
    </row>
    <row r="24">
      <c r="A24" s="2" t="inlineStr">
        <is>
          <t xml:space="preserve">   (column N, via SUMIFS), matching the assignment's requirement that the daily total</t>
        </is>
      </c>
    </row>
    <row r="25">
      <c r="A25" s="2" t="inlineStr">
        <is>
          <t xml:space="preserve">   come from a pivot/summary table rather than being recomputed inline per row.</t>
        </is>
      </c>
    </row>
    <row r="26">
      <c r="A26" s="2" t="inlineStr"/>
    </row>
    <row r="27">
      <c r="A27" s="2" t="inlineStr">
        <is>
          <t>3. Pivot summary: the workbook uses live SUMIFS/COUNTIFS summary tables. The formulas recalculate when the transaction data changes. A native PivotTable was not generated by the Python workbook builder.</t>
        </is>
      </c>
    </row>
    <row r="28">
      <c r="A28" s="2" t="inlineStr">
        <is>
          <t xml:space="preserve">   object from scratch. Daily_Merchant and Pivot_Summary are built instead as live</t>
        </is>
      </c>
    </row>
    <row r="29">
      <c r="A29" s="2" t="inlineStr">
        <is>
          <t xml:space="preserve">   SUMIFS/COUNTIFS cross-tabs referencing Transactions_View directly - they recalculate</t>
        </is>
      </c>
    </row>
    <row r="30">
      <c r="A30" s="2" t="inlineStr">
        <is>
          <t xml:space="preserve">   automatically if the transaction data changes, the same way a refreshed pivot table</t>
        </is>
      </c>
    </row>
    <row r="31">
      <c r="A31" s="2" t="inlineStr">
        <is>
          <t xml:space="preserve">   would, and are NOT hardcoded result values.</t>
        </is>
      </c>
    </row>
    <row r="32">
      <c r="A32" s="2" t="inlineStr"/>
    </row>
    <row r="33">
      <c r="A33" s="2" t="inlineStr">
        <is>
          <t>4. All VLOOKUP formulas use a fixed absolute range (Merchants!$A$2:$D$41) and are</t>
        </is>
      </c>
    </row>
    <row r="34">
      <c r="A34" s="2" t="inlineStr">
        <is>
          <t xml:space="preserve">   wrapped in IFERROR(...,"Merchant not found") to handle any unmatched merchant_id.</t>
        </is>
      </c>
    </row>
    <row r="35">
      <c r="A35" s="2" t="inlineStr"/>
    </row>
    <row r="36">
      <c r="A36" s="2" t="inlineStr">
        <is>
          <t>5. All monetary values are in INR.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0" customWidth="1" min="4" max="4"/>
  </cols>
  <sheetData>
    <row r="1">
      <c r="A1" s="3" t="inlineStr">
        <is>
          <t>merchant_id</t>
        </is>
      </c>
      <c r="B1" s="3" t="inlineStr">
        <is>
          <t>merchant_name</t>
        </is>
      </c>
      <c r="C1" s="3" t="inlineStr">
        <is>
          <t>category</t>
        </is>
      </c>
      <c r="D1" s="3" t="inlineStr">
        <is>
          <t>region</t>
        </is>
      </c>
    </row>
    <row r="2">
      <c r="A2" s="2" t="n">
        <v>1</v>
      </c>
      <c r="B2" s="2" t="inlineStr">
        <is>
          <t>Merchant_001</t>
        </is>
      </c>
      <c r="C2" s="2" t="inlineStr">
        <is>
          <t>ecommerce</t>
        </is>
      </c>
      <c r="D2" s="2" t="inlineStr">
        <is>
          <t>South</t>
        </is>
      </c>
    </row>
    <row r="3">
      <c r="A3" s="2" t="n">
        <v>2</v>
      </c>
      <c r="B3" s="2" t="inlineStr">
        <is>
          <t>Merchant_002</t>
        </is>
      </c>
      <c r="C3" s="2" t="inlineStr">
        <is>
          <t>grocery</t>
        </is>
      </c>
      <c r="D3" s="2" t="inlineStr">
        <is>
          <t>West</t>
        </is>
      </c>
    </row>
    <row r="4">
      <c r="A4" s="2" t="n">
        <v>3</v>
      </c>
      <c r="B4" s="2" t="inlineStr">
        <is>
          <t>Merchant_003</t>
        </is>
      </c>
      <c r="C4" s="2" t="inlineStr">
        <is>
          <t>grocery</t>
        </is>
      </c>
      <c r="D4" s="2" t="inlineStr">
        <is>
          <t>East</t>
        </is>
      </c>
    </row>
    <row r="5">
      <c r="A5" s="2" t="n">
        <v>4</v>
      </c>
      <c r="B5" s="2" t="inlineStr">
        <is>
          <t>Merchant_004</t>
        </is>
      </c>
      <c r="C5" s="2" t="inlineStr">
        <is>
          <t>ecommerce</t>
        </is>
      </c>
      <c r="D5" s="2" t="inlineStr">
        <is>
          <t>East</t>
        </is>
      </c>
    </row>
    <row r="6">
      <c r="A6" s="2" t="n">
        <v>5</v>
      </c>
      <c r="B6" s="2" t="inlineStr">
        <is>
          <t>Merchant_005</t>
        </is>
      </c>
      <c r="C6" s="2" t="inlineStr">
        <is>
          <t>recharge</t>
        </is>
      </c>
      <c r="D6" s="2" t="inlineStr">
        <is>
          <t>South</t>
        </is>
      </c>
    </row>
    <row r="7">
      <c r="A7" s="2" t="n">
        <v>6</v>
      </c>
      <c r="B7" s="2" t="inlineStr">
        <is>
          <t>Merchant_006</t>
        </is>
      </c>
      <c r="C7" s="2" t="inlineStr">
        <is>
          <t>food_delivery</t>
        </is>
      </c>
      <c r="D7" s="2" t="inlineStr">
        <is>
          <t>South</t>
        </is>
      </c>
    </row>
    <row r="8">
      <c r="A8" s="2" t="n">
        <v>7</v>
      </c>
      <c r="B8" s="2" t="inlineStr">
        <is>
          <t>Merchant_007</t>
        </is>
      </c>
      <c r="C8" s="2" t="inlineStr">
        <is>
          <t>food_delivery</t>
        </is>
      </c>
      <c r="D8" s="2" t="inlineStr">
        <is>
          <t>East</t>
        </is>
      </c>
    </row>
    <row r="9">
      <c r="A9" s="2" t="n">
        <v>8</v>
      </c>
      <c r="B9" s="2" t="inlineStr">
        <is>
          <t>Merchant_008</t>
        </is>
      </c>
      <c r="C9" s="2" t="inlineStr">
        <is>
          <t>food_delivery</t>
        </is>
      </c>
      <c r="D9" s="2" t="inlineStr">
        <is>
          <t>North</t>
        </is>
      </c>
    </row>
    <row r="10">
      <c r="A10" s="2" t="n">
        <v>9</v>
      </c>
      <c r="B10" s="2" t="inlineStr">
        <is>
          <t>Merchant_009</t>
        </is>
      </c>
      <c r="C10" s="2" t="inlineStr">
        <is>
          <t>ecommerce</t>
        </is>
      </c>
      <c r="D10" s="2" t="inlineStr">
        <is>
          <t>North</t>
        </is>
      </c>
    </row>
    <row r="11">
      <c r="A11" s="2" t="n">
        <v>10</v>
      </c>
      <c r="B11" s="2" t="inlineStr">
        <is>
          <t>Merchant_010</t>
        </is>
      </c>
      <c r="C11" s="2" t="inlineStr">
        <is>
          <t>grocery</t>
        </is>
      </c>
      <c r="D11" s="2" t="inlineStr">
        <is>
          <t>West</t>
        </is>
      </c>
    </row>
    <row r="12">
      <c r="A12" s="2" t="n">
        <v>11</v>
      </c>
      <c r="B12" s="2" t="inlineStr">
        <is>
          <t>Merchant_011</t>
        </is>
      </c>
      <c r="C12" s="2" t="inlineStr">
        <is>
          <t>ecommerce</t>
        </is>
      </c>
      <c r="D12" s="2" t="inlineStr">
        <is>
          <t>North</t>
        </is>
      </c>
    </row>
    <row r="13">
      <c r="A13" s="2" t="n">
        <v>12</v>
      </c>
      <c r="B13" s="2" t="inlineStr">
        <is>
          <t>Merchant_012</t>
        </is>
      </c>
      <c r="C13" s="2" t="inlineStr">
        <is>
          <t>ecommerce</t>
        </is>
      </c>
      <c r="D13" s="2" t="inlineStr">
        <is>
          <t>East</t>
        </is>
      </c>
    </row>
    <row r="14">
      <c r="A14" s="2" t="n">
        <v>13</v>
      </c>
      <c r="B14" s="2" t="inlineStr">
        <is>
          <t>Merchant_013</t>
        </is>
      </c>
      <c r="C14" s="2" t="inlineStr">
        <is>
          <t>travel</t>
        </is>
      </c>
      <c r="D14" s="2" t="inlineStr">
        <is>
          <t>East</t>
        </is>
      </c>
    </row>
    <row r="15">
      <c r="A15" s="2" t="n">
        <v>14</v>
      </c>
      <c r="B15" s="2" t="inlineStr">
        <is>
          <t>Merchant_014</t>
        </is>
      </c>
      <c r="C15" s="2" t="inlineStr">
        <is>
          <t>grocery</t>
        </is>
      </c>
      <c r="D15" s="2" t="inlineStr">
        <is>
          <t>East</t>
        </is>
      </c>
    </row>
    <row r="16">
      <c r="A16" s="2" t="n">
        <v>15</v>
      </c>
      <c r="B16" s="2" t="inlineStr">
        <is>
          <t>Merchant_015</t>
        </is>
      </c>
      <c r="C16" s="2" t="inlineStr">
        <is>
          <t>travel</t>
        </is>
      </c>
      <c r="D16" s="2" t="inlineStr">
        <is>
          <t>North</t>
        </is>
      </c>
    </row>
    <row r="17">
      <c r="A17" s="2" t="n">
        <v>16</v>
      </c>
      <c r="B17" s="2" t="inlineStr">
        <is>
          <t>Merchant_016</t>
        </is>
      </c>
      <c r="C17" s="2" t="inlineStr">
        <is>
          <t>bill_payment</t>
        </is>
      </c>
      <c r="D17" s="2" t="inlineStr">
        <is>
          <t>West</t>
        </is>
      </c>
    </row>
    <row r="18">
      <c r="A18" s="2" t="n">
        <v>17</v>
      </c>
      <c r="B18" s="2" t="inlineStr">
        <is>
          <t>Merchant_017</t>
        </is>
      </c>
      <c r="C18" s="2" t="inlineStr">
        <is>
          <t>grocery</t>
        </is>
      </c>
      <c r="D18" s="2" t="inlineStr">
        <is>
          <t>North</t>
        </is>
      </c>
    </row>
    <row r="19">
      <c r="A19" s="2" t="n">
        <v>18</v>
      </c>
      <c r="B19" s="2" t="inlineStr">
        <is>
          <t>Merchant_018</t>
        </is>
      </c>
      <c r="C19" s="2" t="inlineStr">
        <is>
          <t>grocery</t>
        </is>
      </c>
      <c r="D19" s="2" t="inlineStr">
        <is>
          <t>West</t>
        </is>
      </c>
    </row>
    <row r="20">
      <c r="A20" s="2" t="n">
        <v>19</v>
      </c>
      <c r="B20" s="2" t="inlineStr">
        <is>
          <t>Merchant_019</t>
        </is>
      </c>
      <c r="C20" s="2" t="inlineStr">
        <is>
          <t>grocery</t>
        </is>
      </c>
      <c r="D20" s="2" t="inlineStr">
        <is>
          <t>North</t>
        </is>
      </c>
    </row>
    <row r="21">
      <c r="A21" s="2" t="n">
        <v>20</v>
      </c>
      <c r="B21" s="2" t="inlineStr">
        <is>
          <t>Merchant_020</t>
        </is>
      </c>
      <c r="C21" s="2" t="inlineStr">
        <is>
          <t>food_delivery</t>
        </is>
      </c>
      <c r="D21" s="2" t="inlineStr">
        <is>
          <t>East</t>
        </is>
      </c>
    </row>
    <row r="22">
      <c r="A22" s="2" t="n">
        <v>21</v>
      </c>
      <c r="B22" s="2" t="inlineStr">
        <is>
          <t>Merchant_021</t>
        </is>
      </c>
      <c r="C22" s="2" t="inlineStr">
        <is>
          <t>food_delivery</t>
        </is>
      </c>
      <c r="D22" s="2" t="inlineStr">
        <is>
          <t>East</t>
        </is>
      </c>
    </row>
    <row r="23">
      <c r="A23" s="2" t="n">
        <v>22</v>
      </c>
      <c r="B23" s="2" t="inlineStr">
        <is>
          <t>Merchant_022</t>
        </is>
      </c>
      <c r="C23" s="2" t="inlineStr">
        <is>
          <t>travel</t>
        </is>
      </c>
      <c r="D23" s="2" t="inlineStr">
        <is>
          <t>South</t>
        </is>
      </c>
    </row>
    <row r="24">
      <c r="A24" s="2" t="n">
        <v>23</v>
      </c>
      <c r="B24" s="2" t="inlineStr">
        <is>
          <t>Merchant_023</t>
        </is>
      </c>
      <c r="C24" s="2" t="inlineStr">
        <is>
          <t>travel</t>
        </is>
      </c>
      <c r="D24" s="2" t="inlineStr">
        <is>
          <t>North</t>
        </is>
      </c>
    </row>
    <row r="25">
      <c r="A25" s="2" t="n">
        <v>24</v>
      </c>
      <c r="B25" s="2" t="inlineStr">
        <is>
          <t>Merchant_024</t>
        </is>
      </c>
      <c r="C25" s="2" t="inlineStr">
        <is>
          <t>grocery</t>
        </is>
      </c>
      <c r="D25" s="2" t="inlineStr">
        <is>
          <t>North</t>
        </is>
      </c>
    </row>
    <row r="26">
      <c r="A26" s="2" t="n">
        <v>25</v>
      </c>
      <c r="B26" s="2" t="inlineStr">
        <is>
          <t>Merchant_025</t>
        </is>
      </c>
      <c r="C26" s="2" t="inlineStr">
        <is>
          <t>travel</t>
        </is>
      </c>
      <c r="D26" s="2" t="inlineStr">
        <is>
          <t>South</t>
        </is>
      </c>
    </row>
    <row r="27">
      <c r="A27" s="2" t="n">
        <v>26</v>
      </c>
      <c r="B27" s="2" t="inlineStr">
        <is>
          <t>Merchant_026</t>
        </is>
      </c>
      <c r="C27" s="2" t="inlineStr">
        <is>
          <t>food_delivery</t>
        </is>
      </c>
      <c r="D27" s="2" t="inlineStr">
        <is>
          <t>East</t>
        </is>
      </c>
    </row>
    <row r="28">
      <c r="A28" s="2" t="n">
        <v>27</v>
      </c>
      <c r="B28" s="2" t="inlineStr">
        <is>
          <t>Merchant_027</t>
        </is>
      </c>
      <c r="C28" s="2" t="inlineStr">
        <is>
          <t>ecommerce</t>
        </is>
      </c>
      <c r="D28" s="2" t="inlineStr">
        <is>
          <t>North</t>
        </is>
      </c>
    </row>
    <row r="29">
      <c r="A29" s="2" t="n">
        <v>28</v>
      </c>
      <c r="B29" s="2" t="inlineStr">
        <is>
          <t>Merchant_028</t>
        </is>
      </c>
      <c r="C29" s="2" t="inlineStr">
        <is>
          <t>ecommerce</t>
        </is>
      </c>
      <c r="D29" s="2" t="inlineStr">
        <is>
          <t>South</t>
        </is>
      </c>
    </row>
    <row r="30">
      <c r="A30" s="2" t="n">
        <v>29</v>
      </c>
      <c r="B30" s="2" t="inlineStr">
        <is>
          <t>Merchant_029</t>
        </is>
      </c>
      <c r="C30" s="2" t="inlineStr">
        <is>
          <t>ecommerce</t>
        </is>
      </c>
      <c r="D30" s="2" t="inlineStr">
        <is>
          <t>North</t>
        </is>
      </c>
    </row>
    <row r="31">
      <c r="A31" s="2" t="n">
        <v>30</v>
      </c>
      <c r="B31" s="2" t="inlineStr">
        <is>
          <t>Merchant_030</t>
        </is>
      </c>
      <c r="C31" s="2" t="inlineStr">
        <is>
          <t>travel</t>
        </is>
      </c>
      <c r="D31" s="2" t="inlineStr">
        <is>
          <t>West</t>
        </is>
      </c>
    </row>
    <row r="32">
      <c r="A32" s="2" t="n">
        <v>31</v>
      </c>
      <c r="B32" s="2" t="inlineStr">
        <is>
          <t>Merchant_031</t>
        </is>
      </c>
      <c r="C32" s="2" t="inlineStr">
        <is>
          <t>bill_payment</t>
        </is>
      </c>
      <c r="D32" s="2" t="inlineStr">
        <is>
          <t>East</t>
        </is>
      </c>
    </row>
    <row r="33">
      <c r="A33" s="2" t="n">
        <v>32</v>
      </c>
      <c r="B33" s="2" t="inlineStr">
        <is>
          <t>Merchant_032</t>
        </is>
      </c>
      <c r="C33" s="2" t="inlineStr">
        <is>
          <t>food_delivery</t>
        </is>
      </c>
      <c r="D33" s="2" t="inlineStr">
        <is>
          <t>West</t>
        </is>
      </c>
    </row>
    <row r="34">
      <c r="A34" s="2" t="n">
        <v>33</v>
      </c>
      <c r="B34" s="2" t="inlineStr">
        <is>
          <t>Merchant_033</t>
        </is>
      </c>
      <c r="C34" s="2" t="inlineStr">
        <is>
          <t>bill_payment</t>
        </is>
      </c>
      <c r="D34" s="2" t="inlineStr">
        <is>
          <t>East</t>
        </is>
      </c>
    </row>
    <row r="35">
      <c r="A35" s="2" t="n">
        <v>34</v>
      </c>
      <c r="B35" s="2" t="inlineStr">
        <is>
          <t>Merchant_034</t>
        </is>
      </c>
      <c r="C35" s="2" t="inlineStr">
        <is>
          <t>travel</t>
        </is>
      </c>
      <c r="D35" s="2" t="inlineStr">
        <is>
          <t>South</t>
        </is>
      </c>
    </row>
    <row r="36">
      <c r="A36" s="2" t="n">
        <v>35</v>
      </c>
      <c r="B36" s="2" t="inlineStr">
        <is>
          <t>Merchant_035</t>
        </is>
      </c>
      <c r="C36" s="2" t="inlineStr">
        <is>
          <t>recharge</t>
        </is>
      </c>
      <c r="D36" s="2" t="inlineStr">
        <is>
          <t>East</t>
        </is>
      </c>
    </row>
    <row r="37">
      <c r="A37" s="2" t="n">
        <v>36</v>
      </c>
      <c r="B37" s="2" t="inlineStr">
        <is>
          <t>Merchant_036</t>
        </is>
      </c>
      <c r="C37" s="2" t="inlineStr">
        <is>
          <t>entertainment</t>
        </is>
      </c>
      <c r="D37" s="2" t="inlineStr">
        <is>
          <t>East</t>
        </is>
      </c>
    </row>
    <row r="38">
      <c r="A38" s="2" t="n">
        <v>37</v>
      </c>
      <c r="B38" s="2" t="inlineStr">
        <is>
          <t>Merchant_037</t>
        </is>
      </c>
      <c r="C38" s="2" t="inlineStr">
        <is>
          <t>entertainment</t>
        </is>
      </c>
      <c r="D38" s="2" t="inlineStr">
        <is>
          <t>South</t>
        </is>
      </c>
    </row>
    <row r="39">
      <c r="A39" s="2" t="n">
        <v>38</v>
      </c>
      <c r="B39" s="2" t="inlineStr">
        <is>
          <t>Merchant_038</t>
        </is>
      </c>
      <c r="C39" s="2" t="inlineStr">
        <is>
          <t>grocery</t>
        </is>
      </c>
      <c r="D39" s="2" t="inlineStr">
        <is>
          <t>East</t>
        </is>
      </c>
    </row>
    <row r="40">
      <c r="A40" s="2" t="n">
        <v>39</v>
      </c>
      <c r="B40" s="2" t="inlineStr">
        <is>
          <t>Merchant_039</t>
        </is>
      </c>
      <c r="C40" s="2" t="inlineStr">
        <is>
          <t>entertainment</t>
        </is>
      </c>
      <c r="D40" s="2" t="inlineStr">
        <is>
          <t>North</t>
        </is>
      </c>
    </row>
    <row r="41">
      <c r="A41" s="2" t="n">
        <v>40</v>
      </c>
      <c r="B41" s="2" t="inlineStr">
        <is>
          <t>Merchant_040</t>
        </is>
      </c>
      <c r="C41" s="2" t="inlineStr">
        <is>
          <t>entertainment</t>
        </is>
      </c>
      <c r="D41" s="2" t="inlineStr">
        <is>
          <t>South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s="4" t="inlineStr">
        <is>
          <t>Payment Method (illustrative MDR fee tiers for this assignment)</t>
        </is>
      </c>
      <c r="B1" s="3" t="inlineStr">
        <is>
          <t>UPI</t>
        </is>
      </c>
      <c r="C1" s="3" t="inlineStr">
        <is>
          <t>Wallet</t>
        </is>
      </c>
      <c r="D1" s="3" t="inlineStr">
        <is>
          <t>Card</t>
        </is>
      </c>
      <c r="E1" s="3" t="inlineStr">
        <is>
          <t>Netbanking</t>
        </is>
      </c>
    </row>
    <row r="2">
      <c r="A2" s="2" t="inlineStr">
        <is>
          <t>Fee % of transaction amount</t>
        </is>
      </c>
      <c r="B2" s="5" t="n">
        <v>0.003</v>
      </c>
      <c r="C2" s="5" t="n">
        <v>0.006</v>
      </c>
      <c r="D2" s="5" t="n">
        <v>0.018</v>
      </c>
      <c r="E2" s="5" t="n">
        <v>0.008999999999999999</v>
      </c>
    </row>
    <row r="4">
      <c r="A4" s="6" t="inlineStr">
        <is>
          <t>NOTE: these fee percentages are illustrative assumptions chosen for this assignment and do not represent real Paytm merchant discount rates (MDR).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0" customWidth="1" min="4" max="4"/>
  </cols>
  <sheetData>
    <row r="1">
      <c r="A1" s="3" t="inlineStr">
        <is>
          <t>merchant_id</t>
        </is>
      </c>
      <c r="B1" s="3" t="inlineStr">
        <is>
          <t>date</t>
        </is>
      </c>
      <c r="C1" s="3" t="inlineStr">
        <is>
          <t>daily_total_amount_inr</t>
        </is>
      </c>
      <c r="D1" s="3" t="inlineStr">
        <is>
          <t>region</t>
        </is>
      </c>
    </row>
    <row r="2">
      <c r="A2" s="2" t="n">
        <v>1</v>
      </c>
      <c r="B2" s="7" t="n">
        <v>46027</v>
      </c>
      <c r="C2" s="8">
        <f>SUMIFS(Transactions_View!$E$2:$E$548,Transactions_View!$C$2:$C$548,A2,Transactions_View!$L$2:$L$548,B2)</f>
        <v/>
      </c>
      <c r="D2" s="2">
        <f>IFERROR(VLOOKUP(A2,Merchants!$A$2:$D$41,4,FALSE),"Merchant not found")</f>
        <v/>
      </c>
    </row>
    <row r="3">
      <c r="A3" s="2" t="n">
        <v>1</v>
      </c>
      <c r="B3" s="7" t="n">
        <v>46028</v>
      </c>
      <c r="C3" s="8">
        <f>SUMIFS(Transactions_View!$E$2:$E$548,Transactions_View!$C$2:$C$548,A3,Transactions_View!$L$2:$L$548,B3)</f>
        <v/>
      </c>
      <c r="D3" s="2">
        <f>IFERROR(VLOOKUP(A3,Merchants!$A$2:$D$41,4,FALSE),"Merchant not found")</f>
        <v/>
      </c>
    </row>
    <row r="4">
      <c r="A4" s="2" t="n">
        <v>1</v>
      </c>
      <c r="B4" s="7" t="n">
        <v>46031</v>
      </c>
      <c r="C4" s="8">
        <f>SUMIFS(Transactions_View!$E$2:$E$548,Transactions_View!$C$2:$C$548,A4,Transactions_View!$L$2:$L$548,B4)</f>
        <v/>
      </c>
      <c r="D4" s="2">
        <f>IFERROR(VLOOKUP(A4,Merchants!$A$2:$D$41,4,FALSE),"Merchant not found")</f>
        <v/>
      </c>
    </row>
    <row r="5">
      <c r="A5" s="2" t="n">
        <v>1</v>
      </c>
      <c r="B5" s="7" t="n">
        <v>46033</v>
      </c>
      <c r="C5" s="8">
        <f>SUMIFS(Transactions_View!$E$2:$E$548,Transactions_View!$C$2:$C$548,A5,Transactions_View!$L$2:$L$548,B5)</f>
        <v/>
      </c>
      <c r="D5" s="2">
        <f>IFERROR(VLOOKUP(A5,Merchants!$A$2:$D$41,4,FALSE),"Merchant not found")</f>
        <v/>
      </c>
    </row>
    <row r="6">
      <c r="A6" s="2" t="n">
        <v>1</v>
      </c>
      <c r="B6" s="7" t="n">
        <v>46034</v>
      </c>
      <c r="C6" s="8">
        <f>SUMIFS(Transactions_View!$E$2:$E$548,Transactions_View!$C$2:$C$548,A6,Transactions_View!$L$2:$L$548,B6)</f>
        <v/>
      </c>
      <c r="D6" s="2">
        <f>IFERROR(VLOOKUP(A6,Merchants!$A$2:$D$41,4,FALSE),"Merchant not found")</f>
        <v/>
      </c>
    </row>
    <row r="7">
      <c r="A7" s="2" t="n">
        <v>1</v>
      </c>
      <c r="B7" s="7" t="n">
        <v>46039</v>
      </c>
      <c r="C7" s="8">
        <f>SUMIFS(Transactions_View!$E$2:$E$548,Transactions_View!$C$2:$C$548,A7,Transactions_View!$L$2:$L$548,B7)</f>
        <v/>
      </c>
      <c r="D7" s="2">
        <f>IFERROR(VLOOKUP(A7,Merchants!$A$2:$D$41,4,FALSE),"Merchant not found")</f>
        <v/>
      </c>
    </row>
    <row r="8">
      <c r="A8" s="2" t="n">
        <v>1</v>
      </c>
      <c r="B8" s="7" t="n">
        <v>46045</v>
      </c>
      <c r="C8" s="8">
        <f>SUMIFS(Transactions_View!$E$2:$E$548,Transactions_View!$C$2:$C$548,A8,Transactions_View!$L$2:$L$548,B8)</f>
        <v/>
      </c>
      <c r="D8" s="2">
        <f>IFERROR(VLOOKUP(A8,Merchants!$A$2:$D$41,4,FALSE),"Merchant not found")</f>
        <v/>
      </c>
    </row>
    <row r="9">
      <c r="A9" s="2" t="n">
        <v>2</v>
      </c>
      <c r="B9" s="7" t="n">
        <v>46029</v>
      </c>
      <c r="C9" s="8">
        <f>SUMIFS(Transactions_View!$E$2:$E$548,Transactions_View!$C$2:$C$548,A9,Transactions_View!$L$2:$L$548,B9)</f>
        <v/>
      </c>
      <c r="D9" s="2">
        <f>IFERROR(VLOOKUP(A9,Merchants!$A$2:$D$41,4,FALSE),"Merchant not found")</f>
        <v/>
      </c>
    </row>
    <row r="10">
      <c r="A10" s="2" t="n">
        <v>2</v>
      </c>
      <c r="B10" s="7" t="n">
        <v>46030</v>
      </c>
      <c r="C10" s="8">
        <f>SUMIFS(Transactions_View!$E$2:$E$548,Transactions_View!$C$2:$C$548,A10,Transactions_View!$L$2:$L$548,B10)</f>
        <v/>
      </c>
      <c r="D10" s="2">
        <f>IFERROR(VLOOKUP(A10,Merchants!$A$2:$D$41,4,FALSE),"Merchant not found")</f>
        <v/>
      </c>
    </row>
    <row r="11">
      <c r="A11" s="2" t="n">
        <v>2</v>
      </c>
      <c r="B11" s="7" t="n">
        <v>46034</v>
      </c>
      <c r="C11" s="8">
        <f>SUMIFS(Transactions_View!$E$2:$E$548,Transactions_View!$C$2:$C$548,A11,Transactions_View!$L$2:$L$548,B11)</f>
        <v/>
      </c>
      <c r="D11" s="2">
        <f>IFERROR(VLOOKUP(A11,Merchants!$A$2:$D$41,4,FALSE),"Merchant not found")</f>
        <v/>
      </c>
    </row>
    <row r="12">
      <c r="A12" s="2" t="n">
        <v>2</v>
      </c>
      <c r="B12" s="7" t="n">
        <v>46035</v>
      </c>
      <c r="C12" s="8">
        <f>SUMIFS(Transactions_View!$E$2:$E$548,Transactions_View!$C$2:$C$548,A12,Transactions_View!$L$2:$L$548,B12)</f>
        <v/>
      </c>
      <c r="D12" s="2">
        <f>IFERROR(VLOOKUP(A12,Merchants!$A$2:$D$41,4,FALSE),"Merchant not found")</f>
        <v/>
      </c>
    </row>
    <row r="13">
      <c r="A13" s="2" t="n">
        <v>2</v>
      </c>
      <c r="B13" s="7" t="n">
        <v>46037</v>
      </c>
      <c r="C13" s="8">
        <f>SUMIFS(Transactions_View!$E$2:$E$548,Transactions_View!$C$2:$C$548,A13,Transactions_View!$L$2:$L$548,B13)</f>
        <v/>
      </c>
      <c r="D13" s="2">
        <f>IFERROR(VLOOKUP(A13,Merchants!$A$2:$D$41,4,FALSE),"Merchant not found")</f>
        <v/>
      </c>
    </row>
    <row r="14">
      <c r="A14" s="2" t="n">
        <v>2</v>
      </c>
      <c r="B14" s="7" t="n">
        <v>46041</v>
      </c>
      <c r="C14" s="8">
        <f>SUMIFS(Transactions_View!$E$2:$E$548,Transactions_View!$C$2:$C$548,A14,Transactions_View!$L$2:$L$548,B14)</f>
        <v/>
      </c>
      <c r="D14" s="2">
        <f>IFERROR(VLOOKUP(A14,Merchants!$A$2:$D$41,4,FALSE),"Merchant not found")</f>
        <v/>
      </c>
    </row>
    <row r="15">
      <c r="A15" s="2" t="n">
        <v>2</v>
      </c>
      <c r="B15" s="7" t="n">
        <v>46044</v>
      </c>
      <c r="C15" s="8">
        <f>SUMIFS(Transactions_View!$E$2:$E$548,Transactions_View!$C$2:$C$548,A15,Transactions_View!$L$2:$L$548,B15)</f>
        <v/>
      </c>
      <c r="D15" s="2">
        <f>IFERROR(VLOOKUP(A15,Merchants!$A$2:$D$41,4,FALSE),"Merchant not found")</f>
        <v/>
      </c>
    </row>
    <row r="16">
      <c r="A16" s="2" t="n">
        <v>2</v>
      </c>
      <c r="B16" s="7" t="n">
        <v>46048</v>
      </c>
      <c r="C16" s="8">
        <f>SUMIFS(Transactions_View!$E$2:$E$548,Transactions_View!$C$2:$C$548,A16,Transactions_View!$L$2:$L$548,B16)</f>
        <v/>
      </c>
      <c r="D16" s="2">
        <f>IFERROR(VLOOKUP(A16,Merchants!$A$2:$D$41,4,FALSE),"Merchant not found")</f>
        <v/>
      </c>
    </row>
    <row r="17">
      <c r="A17" s="2" t="n">
        <v>2</v>
      </c>
      <c r="B17" s="7" t="n">
        <v>46052</v>
      </c>
      <c r="C17" s="8">
        <f>SUMIFS(Transactions_View!$E$2:$E$548,Transactions_View!$C$2:$C$548,A17,Transactions_View!$L$2:$L$548,B17)</f>
        <v/>
      </c>
      <c r="D17" s="2">
        <f>IFERROR(VLOOKUP(A17,Merchants!$A$2:$D$41,4,FALSE),"Merchant not found")</f>
        <v/>
      </c>
    </row>
    <row r="18">
      <c r="A18" s="2" t="n">
        <v>3</v>
      </c>
      <c r="B18" s="7" t="n">
        <v>46025</v>
      </c>
      <c r="C18" s="8">
        <f>SUMIFS(Transactions_View!$E$2:$E$548,Transactions_View!$C$2:$C$548,A18,Transactions_View!$L$2:$L$548,B18)</f>
        <v/>
      </c>
      <c r="D18" s="2">
        <f>IFERROR(VLOOKUP(A18,Merchants!$A$2:$D$41,4,FALSE),"Merchant not found")</f>
        <v/>
      </c>
    </row>
    <row r="19">
      <c r="A19" s="2" t="n">
        <v>3</v>
      </c>
      <c r="B19" s="7" t="n">
        <v>46027</v>
      </c>
      <c r="C19" s="8">
        <f>SUMIFS(Transactions_View!$E$2:$E$548,Transactions_View!$C$2:$C$548,A19,Transactions_View!$L$2:$L$548,B19)</f>
        <v/>
      </c>
      <c r="D19" s="2">
        <f>IFERROR(VLOOKUP(A19,Merchants!$A$2:$D$41,4,FALSE),"Merchant not found")</f>
        <v/>
      </c>
    </row>
    <row r="20">
      <c r="A20" s="2" t="n">
        <v>3</v>
      </c>
      <c r="B20" s="7" t="n">
        <v>46028</v>
      </c>
      <c r="C20" s="8">
        <f>SUMIFS(Transactions_View!$E$2:$E$548,Transactions_View!$C$2:$C$548,A20,Transactions_View!$L$2:$L$548,B20)</f>
        <v/>
      </c>
      <c r="D20" s="2">
        <f>IFERROR(VLOOKUP(A20,Merchants!$A$2:$D$41,4,FALSE),"Merchant not found")</f>
        <v/>
      </c>
    </row>
    <row r="21">
      <c r="A21" s="2" t="n">
        <v>3</v>
      </c>
      <c r="B21" s="7" t="n">
        <v>46029</v>
      </c>
      <c r="C21" s="8">
        <f>SUMIFS(Transactions_View!$E$2:$E$548,Transactions_View!$C$2:$C$548,A21,Transactions_View!$L$2:$L$548,B21)</f>
        <v/>
      </c>
      <c r="D21" s="2">
        <f>IFERROR(VLOOKUP(A21,Merchants!$A$2:$D$41,4,FALSE),"Merchant not found")</f>
        <v/>
      </c>
    </row>
    <row r="22">
      <c r="A22" s="2" t="n">
        <v>3</v>
      </c>
      <c r="B22" s="7" t="n">
        <v>46030</v>
      </c>
      <c r="C22" s="8">
        <f>SUMIFS(Transactions_View!$E$2:$E$548,Transactions_View!$C$2:$C$548,A22,Transactions_View!$L$2:$L$548,B22)</f>
        <v/>
      </c>
      <c r="D22" s="2">
        <f>IFERROR(VLOOKUP(A22,Merchants!$A$2:$D$41,4,FALSE),"Merchant not found")</f>
        <v/>
      </c>
    </row>
    <row r="23">
      <c r="A23" s="2" t="n">
        <v>3</v>
      </c>
      <c r="B23" s="7" t="n">
        <v>46035</v>
      </c>
      <c r="C23" s="8">
        <f>SUMIFS(Transactions_View!$E$2:$E$548,Transactions_View!$C$2:$C$548,A23,Transactions_View!$L$2:$L$548,B23)</f>
        <v/>
      </c>
      <c r="D23" s="2">
        <f>IFERROR(VLOOKUP(A23,Merchants!$A$2:$D$41,4,FALSE),"Merchant not found")</f>
        <v/>
      </c>
    </row>
    <row r="24">
      <c r="A24" s="2" t="n">
        <v>3</v>
      </c>
      <c r="B24" s="7" t="n">
        <v>46038</v>
      </c>
      <c r="C24" s="8">
        <f>SUMIFS(Transactions_View!$E$2:$E$548,Transactions_View!$C$2:$C$548,A24,Transactions_View!$L$2:$L$548,B24)</f>
        <v/>
      </c>
      <c r="D24" s="2">
        <f>IFERROR(VLOOKUP(A24,Merchants!$A$2:$D$41,4,FALSE),"Merchant not found")</f>
        <v/>
      </c>
    </row>
    <row r="25">
      <c r="A25" s="2" t="n">
        <v>3</v>
      </c>
      <c r="B25" s="7" t="n">
        <v>46042</v>
      </c>
      <c r="C25" s="8">
        <f>SUMIFS(Transactions_View!$E$2:$E$548,Transactions_View!$C$2:$C$548,A25,Transactions_View!$L$2:$L$548,B25)</f>
        <v/>
      </c>
      <c r="D25" s="2">
        <f>IFERROR(VLOOKUP(A25,Merchants!$A$2:$D$41,4,FALSE),"Merchant not found")</f>
        <v/>
      </c>
    </row>
    <row r="26">
      <c r="A26" s="2" t="n">
        <v>3</v>
      </c>
      <c r="B26" s="7" t="n">
        <v>46044</v>
      </c>
      <c r="C26" s="8">
        <f>SUMIFS(Transactions_View!$E$2:$E$548,Transactions_View!$C$2:$C$548,A26,Transactions_View!$L$2:$L$548,B26)</f>
        <v/>
      </c>
      <c r="D26" s="2">
        <f>IFERROR(VLOOKUP(A26,Merchants!$A$2:$D$41,4,FALSE),"Merchant not found")</f>
        <v/>
      </c>
    </row>
    <row r="27">
      <c r="A27" s="2" t="n">
        <v>3</v>
      </c>
      <c r="B27" s="7" t="n">
        <v>46045</v>
      </c>
      <c r="C27" s="8">
        <f>SUMIFS(Transactions_View!$E$2:$E$548,Transactions_View!$C$2:$C$548,A27,Transactions_View!$L$2:$L$548,B27)</f>
        <v/>
      </c>
      <c r="D27" s="2">
        <f>IFERROR(VLOOKUP(A27,Merchants!$A$2:$D$41,4,FALSE),"Merchant not found")</f>
        <v/>
      </c>
    </row>
    <row r="28">
      <c r="A28" s="2" t="n">
        <v>3</v>
      </c>
      <c r="B28" s="7" t="n">
        <v>46048</v>
      </c>
      <c r="C28" s="8">
        <f>SUMIFS(Transactions_View!$E$2:$E$548,Transactions_View!$C$2:$C$548,A28,Transactions_View!$L$2:$L$548,B28)</f>
        <v/>
      </c>
      <c r="D28" s="2">
        <f>IFERROR(VLOOKUP(A28,Merchants!$A$2:$D$41,4,FALSE),"Merchant not found")</f>
        <v/>
      </c>
    </row>
    <row r="29">
      <c r="A29" s="2" t="n">
        <v>3</v>
      </c>
      <c r="B29" s="7" t="n">
        <v>46051</v>
      </c>
      <c r="C29" s="8">
        <f>SUMIFS(Transactions_View!$E$2:$E$548,Transactions_View!$C$2:$C$548,A29,Transactions_View!$L$2:$L$548,B29)</f>
        <v/>
      </c>
      <c r="D29" s="2">
        <f>IFERROR(VLOOKUP(A29,Merchants!$A$2:$D$41,4,FALSE),"Merchant not found")</f>
        <v/>
      </c>
    </row>
    <row r="30">
      <c r="A30" s="2" t="n">
        <v>3</v>
      </c>
      <c r="B30" s="7" t="n">
        <v>46052</v>
      </c>
      <c r="C30" s="8">
        <f>SUMIFS(Transactions_View!$E$2:$E$548,Transactions_View!$C$2:$C$548,A30,Transactions_View!$L$2:$L$548,B30)</f>
        <v/>
      </c>
      <c r="D30" s="2">
        <f>IFERROR(VLOOKUP(A30,Merchants!$A$2:$D$41,4,FALSE),"Merchant not found")</f>
        <v/>
      </c>
    </row>
    <row r="31">
      <c r="A31" s="2" t="n">
        <v>4</v>
      </c>
      <c r="B31" s="7" t="n">
        <v>46024</v>
      </c>
      <c r="C31" s="8">
        <f>SUMIFS(Transactions_View!$E$2:$E$548,Transactions_View!$C$2:$C$548,A31,Transactions_View!$L$2:$L$548,B31)</f>
        <v/>
      </c>
      <c r="D31" s="2">
        <f>IFERROR(VLOOKUP(A31,Merchants!$A$2:$D$41,4,FALSE),"Merchant not found")</f>
        <v/>
      </c>
    </row>
    <row r="32">
      <c r="A32" s="2" t="n">
        <v>4</v>
      </c>
      <c r="B32" s="7" t="n">
        <v>46034</v>
      </c>
      <c r="C32" s="8">
        <f>SUMIFS(Transactions_View!$E$2:$E$548,Transactions_View!$C$2:$C$548,A32,Transactions_View!$L$2:$L$548,B32)</f>
        <v/>
      </c>
      <c r="D32" s="2">
        <f>IFERROR(VLOOKUP(A32,Merchants!$A$2:$D$41,4,FALSE),"Merchant not found")</f>
        <v/>
      </c>
    </row>
    <row r="33">
      <c r="A33" s="2" t="n">
        <v>4</v>
      </c>
      <c r="B33" s="7" t="n">
        <v>46035</v>
      </c>
      <c r="C33" s="8">
        <f>SUMIFS(Transactions_View!$E$2:$E$548,Transactions_View!$C$2:$C$548,A33,Transactions_View!$L$2:$L$548,B33)</f>
        <v/>
      </c>
      <c r="D33" s="2">
        <f>IFERROR(VLOOKUP(A33,Merchants!$A$2:$D$41,4,FALSE),"Merchant not found")</f>
        <v/>
      </c>
    </row>
    <row r="34">
      <c r="A34" s="2" t="n">
        <v>4</v>
      </c>
      <c r="B34" s="7" t="n">
        <v>46038</v>
      </c>
      <c r="C34" s="8">
        <f>SUMIFS(Transactions_View!$E$2:$E$548,Transactions_View!$C$2:$C$548,A34,Transactions_View!$L$2:$L$548,B34)</f>
        <v/>
      </c>
      <c r="D34" s="2">
        <f>IFERROR(VLOOKUP(A34,Merchants!$A$2:$D$41,4,FALSE),"Merchant not found")</f>
        <v/>
      </c>
    </row>
    <row r="35">
      <c r="A35" s="2" t="n">
        <v>4</v>
      </c>
      <c r="B35" s="7" t="n">
        <v>46039</v>
      </c>
      <c r="C35" s="8">
        <f>SUMIFS(Transactions_View!$E$2:$E$548,Transactions_View!$C$2:$C$548,A35,Transactions_View!$L$2:$L$548,B35)</f>
        <v/>
      </c>
      <c r="D35" s="2">
        <f>IFERROR(VLOOKUP(A35,Merchants!$A$2:$D$41,4,FALSE),"Merchant not found")</f>
        <v/>
      </c>
    </row>
    <row r="36">
      <c r="A36" s="2" t="n">
        <v>4</v>
      </c>
      <c r="B36" s="7" t="n">
        <v>46046</v>
      </c>
      <c r="C36" s="8">
        <f>SUMIFS(Transactions_View!$E$2:$E$548,Transactions_View!$C$2:$C$548,A36,Transactions_View!$L$2:$L$548,B36)</f>
        <v/>
      </c>
      <c r="D36" s="2">
        <f>IFERROR(VLOOKUP(A36,Merchants!$A$2:$D$41,4,FALSE),"Merchant not found")</f>
        <v/>
      </c>
    </row>
    <row r="37">
      <c r="A37" s="2" t="n">
        <v>4</v>
      </c>
      <c r="B37" s="7" t="n">
        <v>46047</v>
      </c>
      <c r="C37" s="8">
        <f>SUMIFS(Transactions_View!$E$2:$E$548,Transactions_View!$C$2:$C$548,A37,Transactions_View!$L$2:$L$548,B37)</f>
        <v/>
      </c>
      <c r="D37" s="2">
        <f>IFERROR(VLOOKUP(A37,Merchants!$A$2:$D$41,4,FALSE),"Merchant not found")</f>
        <v/>
      </c>
    </row>
    <row r="38">
      <c r="A38" s="2" t="n">
        <v>5</v>
      </c>
      <c r="B38" s="7" t="n">
        <v>46023</v>
      </c>
      <c r="C38" s="8">
        <f>SUMIFS(Transactions_View!$E$2:$E$548,Transactions_View!$C$2:$C$548,A38,Transactions_View!$L$2:$L$548,B38)</f>
        <v/>
      </c>
      <c r="D38" s="2">
        <f>IFERROR(VLOOKUP(A38,Merchants!$A$2:$D$41,4,FALSE),"Merchant not found")</f>
        <v/>
      </c>
    </row>
    <row r="39">
      <c r="A39" s="2" t="n">
        <v>5</v>
      </c>
      <c r="B39" s="7" t="n">
        <v>46025</v>
      </c>
      <c r="C39" s="8">
        <f>SUMIFS(Transactions_View!$E$2:$E$548,Transactions_View!$C$2:$C$548,A39,Transactions_View!$L$2:$L$548,B39)</f>
        <v/>
      </c>
      <c r="D39" s="2">
        <f>IFERROR(VLOOKUP(A39,Merchants!$A$2:$D$41,4,FALSE),"Merchant not found")</f>
        <v/>
      </c>
    </row>
    <row r="40">
      <c r="A40" s="2" t="n">
        <v>5</v>
      </c>
      <c r="B40" s="7" t="n">
        <v>46031</v>
      </c>
      <c r="C40" s="8">
        <f>SUMIFS(Transactions_View!$E$2:$E$548,Transactions_View!$C$2:$C$548,A40,Transactions_View!$L$2:$L$548,B40)</f>
        <v/>
      </c>
      <c r="D40" s="2">
        <f>IFERROR(VLOOKUP(A40,Merchants!$A$2:$D$41,4,FALSE),"Merchant not found")</f>
        <v/>
      </c>
    </row>
    <row r="41">
      <c r="A41" s="2" t="n">
        <v>5</v>
      </c>
      <c r="B41" s="7" t="n">
        <v>46032</v>
      </c>
      <c r="C41" s="8">
        <f>SUMIFS(Transactions_View!$E$2:$E$548,Transactions_View!$C$2:$C$548,A41,Transactions_View!$L$2:$L$548,B41)</f>
        <v/>
      </c>
      <c r="D41" s="2">
        <f>IFERROR(VLOOKUP(A41,Merchants!$A$2:$D$41,4,FALSE),"Merchant not found")</f>
        <v/>
      </c>
    </row>
    <row r="42">
      <c r="A42" s="2" t="n">
        <v>5</v>
      </c>
      <c r="B42" s="7" t="n">
        <v>46037</v>
      </c>
      <c r="C42" s="8">
        <f>SUMIFS(Transactions_View!$E$2:$E$548,Transactions_View!$C$2:$C$548,A42,Transactions_View!$L$2:$L$548,B42)</f>
        <v/>
      </c>
      <c r="D42" s="2">
        <f>IFERROR(VLOOKUP(A42,Merchants!$A$2:$D$41,4,FALSE),"Merchant not found")</f>
        <v/>
      </c>
    </row>
    <row r="43">
      <c r="A43" s="2" t="n">
        <v>5</v>
      </c>
      <c r="B43" s="7" t="n">
        <v>46039</v>
      </c>
      <c r="C43" s="8">
        <f>SUMIFS(Transactions_View!$E$2:$E$548,Transactions_View!$C$2:$C$548,A43,Transactions_View!$L$2:$L$548,B43)</f>
        <v/>
      </c>
      <c r="D43" s="2">
        <f>IFERROR(VLOOKUP(A43,Merchants!$A$2:$D$41,4,FALSE),"Merchant not found")</f>
        <v/>
      </c>
    </row>
    <row r="44">
      <c r="A44" s="2" t="n">
        <v>5</v>
      </c>
      <c r="B44" s="7" t="n">
        <v>46040</v>
      </c>
      <c r="C44" s="8">
        <f>SUMIFS(Transactions_View!$E$2:$E$548,Transactions_View!$C$2:$C$548,A44,Transactions_View!$L$2:$L$548,B44)</f>
        <v/>
      </c>
      <c r="D44" s="2">
        <f>IFERROR(VLOOKUP(A44,Merchants!$A$2:$D$41,4,FALSE),"Merchant not found")</f>
        <v/>
      </c>
    </row>
    <row r="45">
      <c r="A45" s="2" t="n">
        <v>5</v>
      </c>
      <c r="B45" s="7" t="n">
        <v>46041</v>
      </c>
      <c r="C45" s="8">
        <f>SUMIFS(Transactions_View!$E$2:$E$548,Transactions_View!$C$2:$C$548,A45,Transactions_View!$L$2:$L$548,B45)</f>
        <v/>
      </c>
      <c r="D45" s="2">
        <f>IFERROR(VLOOKUP(A45,Merchants!$A$2:$D$41,4,FALSE),"Merchant not found")</f>
        <v/>
      </c>
    </row>
    <row r="46">
      <c r="A46" s="2" t="n">
        <v>5</v>
      </c>
      <c r="B46" s="7" t="n">
        <v>46052</v>
      </c>
      <c r="C46" s="8">
        <f>SUMIFS(Transactions_View!$E$2:$E$548,Transactions_View!$C$2:$C$548,A46,Transactions_View!$L$2:$L$548,B46)</f>
        <v/>
      </c>
      <c r="D46" s="2">
        <f>IFERROR(VLOOKUP(A46,Merchants!$A$2:$D$41,4,FALSE),"Merchant not found")</f>
        <v/>
      </c>
    </row>
    <row r="47">
      <c r="A47" s="2" t="n">
        <v>6</v>
      </c>
      <c r="B47" s="7" t="n">
        <v>46023</v>
      </c>
      <c r="C47" s="8">
        <f>SUMIFS(Transactions_View!$E$2:$E$548,Transactions_View!$C$2:$C$548,A47,Transactions_View!$L$2:$L$548,B47)</f>
        <v/>
      </c>
      <c r="D47" s="2">
        <f>IFERROR(VLOOKUP(A47,Merchants!$A$2:$D$41,4,FALSE),"Merchant not found")</f>
        <v/>
      </c>
    </row>
    <row r="48">
      <c r="A48" s="2" t="n">
        <v>6</v>
      </c>
      <c r="B48" s="7" t="n">
        <v>46025</v>
      </c>
      <c r="C48" s="8">
        <f>SUMIFS(Transactions_View!$E$2:$E$548,Transactions_View!$C$2:$C$548,A48,Transactions_View!$L$2:$L$548,B48)</f>
        <v/>
      </c>
      <c r="D48" s="2">
        <f>IFERROR(VLOOKUP(A48,Merchants!$A$2:$D$41,4,FALSE),"Merchant not found")</f>
        <v/>
      </c>
    </row>
    <row r="49">
      <c r="A49" s="2" t="n">
        <v>6</v>
      </c>
      <c r="B49" s="7" t="n">
        <v>46027</v>
      </c>
      <c r="C49" s="8">
        <f>SUMIFS(Transactions_View!$E$2:$E$548,Transactions_View!$C$2:$C$548,A49,Transactions_View!$L$2:$L$548,B49)</f>
        <v/>
      </c>
      <c r="D49" s="2">
        <f>IFERROR(VLOOKUP(A49,Merchants!$A$2:$D$41,4,FALSE),"Merchant not found")</f>
        <v/>
      </c>
    </row>
    <row r="50">
      <c r="A50" s="2" t="n">
        <v>6</v>
      </c>
      <c r="B50" s="7" t="n">
        <v>46030</v>
      </c>
      <c r="C50" s="8">
        <f>SUMIFS(Transactions_View!$E$2:$E$548,Transactions_View!$C$2:$C$548,A50,Transactions_View!$L$2:$L$548,B50)</f>
        <v/>
      </c>
      <c r="D50" s="2">
        <f>IFERROR(VLOOKUP(A50,Merchants!$A$2:$D$41,4,FALSE),"Merchant not found")</f>
        <v/>
      </c>
    </row>
    <row r="51">
      <c r="A51" s="2" t="n">
        <v>6</v>
      </c>
      <c r="B51" s="7" t="n">
        <v>46031</v>
      </c>
      <c r="C51" s="8">
        <f>SUMIFS(Transactions_View!$E$2:$E$548,Transactions_View!$C$2:$C$548,A51,Transactions_View!$L$2:$L$548,B51)</f>
        <v/>
      </c>
      <c r="D51" s="2">
        <f>IFERROR(VLOOKUP(A51,Merchants!$A$2:$D$41,4,FALSE),"Merchant not found")</f>
        <v/>
      </c>
    </row>
    <row r="52">
      <c r="A52" s="2" t="n">
        <v>6</v>
      </c>
      <c r="B52" s="7" t="n">
        <v>46033</v>
      </c>
      <c r="C52" s="8">
        <f>SUMIFS(Transactions_View!$E$2:$E$548,Transactions_View!$C$2:$C$548,A52,Transactions_View!$L$2:$L$548,B52)</f>
        <v/>
      </c>
      <c r="D52" s="2">
        <f>IFERROR(VLOOKUP(A52,Merchants!$A$2:$D$41,4,FALSE),"Merchant not found")</f>
        <v/>
      </c>
    </row>
    <row r="53">
      <c r="A53" s="2" t="n">
        <v>6</v>
      </c>
      <c r="B53" s="7" t="n">
        <v>46035</v>
      </c>
      <c r="C53" s="8">
        <f>SUMIFS(Transactions_View!$E$2:$E$548,Transactions_View!$C$2:$C$548,A53,Transactions_View!$L$2:$L$548,B53)</f>
        <v/>
      </c>
      <c r="D53" s="2">
        <f>IFERROR(VLOOKUP(A53,Merchants!$A$2:$D$41,4,FALSE),"Merchant not found")</f>
        <v/>
      </c>
    </row>
    <row r="54">
      <c r="A54" s="2" t="n">
        <v>6</v>
      </c>
      <c r="B54" s="7" t="n">
        <v>46037</v>
      </c>
      <c r="C54" s="8">
        <f>SUMIFS(Transactions_View!$E$2:$E$548,Transactions_View!$C$2:$C$548,A54,Transactions_View!$L$2:$L$548,B54)</f>
        <v/>
      </c>
      <c r="D54" s="2">
        <f>IFERROR(VLOOKUP(A54,Merchants!$A$2:$D$41,4,FALSE),"Merchant not found")</f>
        <v/>
      </c>
    </row>
    <row r="55">
      <c r="A55" s="2" t="n">
        <v>6</v>
      </c>
      <c r="B55" s="7" t="n">
        <v>46039</v>
      </c>
      <c r="C55" s="8">
        <f>SUMIFS(Transactions_View!$E$2:$E$548,Transactions_View!$C$2:$C$548,A55,Transactions_View!$L$2:$L$548,B55)</f>
        <v/>
      </c>
      <c r="D55" s="2">
        <f>IFERROR(VLOOKUP(A55,Merchants!$A$2:$D$41,4,FALSE),"Merchant not found")</f>
        <v/>
      </c>
    </row>
    <row r="56">
      <c r="A56" s="2" t="n">
        <v>6</v>
      </c>
      <c r="B56" s="7" t="n">
        <v>46041</v>
      </c>
      <c r="C56" s="8">
        <f>SUMIFS(Transactions_View!$E$2:$E$548,Transactions_View!$C$2:$C$548,A56,Transactions_View!$L$2:$L$548,B56)</f>
        <v/>
      </c>
      <c r="D56" s="2">
        <f>IFERROR(VLOOKUP(A56,Merchants!$A$2:$D$41,4,FALSE),"Merchant not found")</f>
        <v/>
      </c>
    </row>
    <row r="57">
      <c r="A57" s="2" t="n">
        <v>6</v>
      </c>
      <c r="B57" s="7" t="n">
        <v>46043</v>
      </c>
      <c r="C57" s="8">
        <f>SUMIFS(Transactions_View!$E$2:$E$548,Transactions_View!$C$2:$C$548,A57,Transactions_View!$L$2:$L$548,B57)</f>
        <v/>
      </c>
      <c r="D57" s="2">
        <f>IFERROR(VLOOKUP(A57,Merchants!$A$2:$D$41,4,FALSE),"Merchant not found")</f>
        <v/>
      </c>
    </row>
    <row r="58">
      <c r="A58" s="2" t="n">
        <v>6</v>
      </c>
      <c r="B58" s="7" t="n">
        <v>46048</v>
      </c>
      <c r="C58" s="8">
        <f>SUMIFS(Transactions_View!$E$2:$E$548,Transactions_View!$C$2:$C$548,A58,Transactions_View!$L$2:$L$548,B58)</f>
        <v/>
      </c>
      <c r="D58" s="2">
        <f>IFERROR(VLOOKUP(A58,Merchants!$A$2:$D$41,4,FALSE),"Merchant not found")</f>
        <v/>
      </c>
    </row>
    <row r="59">
      <c r="A59" s="2" t="n">
        <v>7</v>
      </c>
      <c r="B59" s="7" t="n">
        <v>46024</v>
      </c>
      <c r="C59" s="8">
        <f>SUMIFS(Transactions_View!$E$2:$E$548,Transactions_View!$C$2:$C$548,A59,Transactions_View!$L$2:$L$548,B59)</f>
        <v/>
      </c>
      <c r="D59" s="2">
        <f>IFERROR(VLOOKUP(A59,Merchants!$A$2:$D$41,4,FALSE),"Merchant not found")</f>
        <v/>
      </c>
    </row>
    <row r="60">
      <c r="A60" s="2" t="n">
        <v>7</v>
      </c>
      <c r="B60" s="7" t="n">
        <v>46025</v>
      </c>
      <c r="C60" s="8">
        <f>SUMIFS(Transactions_View!$E$2:$E$548,Transactions_View!$C$2:$C$548,A60,Transactions_View!$L$2:$L$548,B60)</f>
        <v/>
      </c>
      <c r="D60" s="2">
        <f>IFERROR(VLOOKUP(A60,Merchants!$A$2:$D$41,4,FALSE),"Merchant not found")</f>
        <v/>
      </c>
    </row>
    <row r="61">
      <c r="A61" s="2" t="n">
        <v>7</v>
      </c>
      <c r="B61" s="7" t="n">
        <v>46027</v>
      </c>
      <c r="C61" s="8">
        <f>SUMIFS(Transactions_View!$E$2:$E$548,Transactions_View!$C$2:$C$548,A61,Transactions_View!$L$2:$L$548,B61)</f>
        <v/>
      </c>
      <c r="D61" s="2">
        <f>IFERROR(VLOOKUP(A61,Merchants!$A$2:$D$41,4,FALSE),"Merchant not found")</f>
        <v/>
      </c>
    </row>
    <row r="62">
      <c r="A62" s="2" t="n">
        <v>7</v>
      </c>
      <c r="B62" s="7" t="n">
        <v>46030</v>
      </c>
      <c r="C62" s="8">
        <f>SUMIFS(Transactions_View!$E$2:$E$548,Transactions_View!$C$2:$C$548,A62,Transactions_View!$L$2:$L$548,B62)</f>
        <v/>
      </c>
      <c r="D62" s="2">
        <f>IFERROR(VLOOKUP(A62,Merchants!$A$2:$D$41,4,FALSE),"Merchant not found")</f>
        <v/>
      </c>
    </row>
    <row r="63">
      <c r="A63" s="2" t="n">
        <v>7</v>
      </c>
      <c r="B63" s="7" t="n">
        <v>46032</v>
      </c>
      <c r="C63" s="8">
        <f>SUMIFS(Transactions_View!$E$2:$E$548,Transactions_View!$C$2:$C$548,A63,Transactions_View!$L$2:$L$548,B63)</f>
        <v/>
      </c>
      <c r="D63" s="2">
        <f>IFERROR(VLOOKUP(A63,Merchants!$A$2:$D$41,4,FALSE),"Merchant not found")</f>
        <v/>
      </c>
    </row>
    <row r="64">
      <c r="A64" s="2" t="n">
        <v>7</v>
      </c>
      <c r="B64" s="7" t="n">
        <v>46037</v>
      </c>
      <c r="C64" s="8">
        <f>SUMIFS(Transactions_View!$E$2:$E$548,Transactions_View!$C$2:$C$548,A64,Transactions_View!$L$2:$L$548,B64)</f>
        <v/>
      </c>
      <c r="D64" s="2">
        <f>IFERROR(VLOOKUP(A64,Merchants!$A$2:$D$41,4,FALSE),"Merchant not found")</f>
        <v/>
      </c>
    </row>
    <row r="65">
      <c r="A65" s="2" t="n">
        <v>7</v>
      </c>
      <c r="B65" s="7" t="n">
        <v>46039</v>
      </c>
      <c r="C65" s="8">
        <f>SUMIFS(Transactions_View!$E$2:$E$548,Transactions_View!$C$2:$C$548,A65,Transactions_View!$L$2:$L$548,B65)</f>
        <v/>
      </c>
      <c r="D65" s="2">
        <f>IFERROR(VLOOKUP(A65,Merchants!$A$2:$D$41,4,FALSE),"Merchant not found")</f>
        <v/>
      </c>
    </row>
    <row r="66">
      <c r="A66" s="2" t="n">
        <v>7</v>
      </c>
      <c r="B66" s="7" t="n">
        <v>46043</v>
      </c>
      <c r="C66" s="8">
        <f>SUMIFS(Transactions_View!$E$2:$E$548,Transactions_View!$C$2:$C$548,A66,Transactions_View!$L$2:$L$548,B66)</f>
        <v/>
      </c>
      <c r="D66" s="2">
        <f>IFERROR(VLOOKUP(A66,Merchants!$A$2:$D$41,4,FALSE),"Merchant not found")</f>
        <v/>
      </c>
    </row>
    <row r="67">
      <c r="A67" s="2" t="n">
        <v>7</v>
      </c>
      <c r="B67" s="7" t="n">
        <v>46046</v>
      </c>
      <c r="C67" s="8">
        <f>SUMIFS(Transactions_View!$E$2:$E$548,Transactions_View!$C$2:$C$548,A67,Transactions_View!$L$2:$L$548,B67)</f>
        <v/>
      </c>
      <c r="D67" s="2">
        <f>IFERROR(VLOOKUP(A67,Merchants!$A$2:$D$41,4,FALSE),"Merchant not found")</f>
        <v/>
      </c>
    </row>
    <row r="68">
      <c r="A68" s="2" t="n">
        <v>7</v>
      </c>
      <c r="B68" s="7" t="n">
        <v>46047</v>
      </c>
      <c r="C68" s="8">
        <f>SUMIFS(Transactions_View!$E$2:$E$548,Transactions_View!$C$2:$C$548,A68,Transactions_View!$L$2:$L$548,B68)</f>
        <v/>
      </c>
      <c r="D68" s="2">
        <f>IFERROR(VLOOKUP(A68,Merchants!$A$2:$D$41,4,FALSE),"Merchant not found")</f>
        <v/>
      </c>
    </row>
    <row r="69">
      <c r="A69" s="2" t="n">
        <v>7</v>
      </c>
      <c r="B69" s="7" t="n">
        <v>46052</v>
      </c>
      <c r="C69" s="8">
        <f>SUMIFS(Transactions_View!$E$2:$E$548,Transactions_View!$C$2:$C$548,A69,Transactions_View!$L$2:$L$548,B69)</f>
        <v/>
      </c>
      <c r="D69" s="2">
        <f>IFERROR(VLOOKUP(A69,Merchants!$A$2:$D$41,4,FALSE),"Merchant not found")</f>
        <v/>
      </c>
    </row>
    <row r="70">
      <c r="A70" s="2" t="n">
        <v>8</v>
      </c>
      <c r="B70" s="7" t="n">
        <v>46024</v>
      </c>
      <c r="C70" s="8">
        <f>SUMIFS(Transactions_View!$E$2:$E$548,Transactions_View!$C$2:$C$548,A70,Transactions_View!$L$2:$L$548,B70)</f>
        <v/>
      </c>
      <c r="D70" s="2">
        <f>IFERROR(VLOOKUP(A70,Merchants!$A$2:$D$41,4,FALSE),"Merchant not found")</f>
        <v/>
      </c>
    </row>
    <row r="71">
      <c r="A71" s="2" t="n">
        <v>8</v>
      </c>
      <c r="B71" s="7" t="n">
        <v>46025</v>
      </c>
      <c r="C71" s="8">
        <f>SUMIFS(Transactions_View!$E$2:$E$548,Transactions_View!$C$2:$C$548,A71,Transactions_View!$L$2:$L$548,B71)</f>
        <v/>
      </c>
      <c r="D71" s="2">
        <f>IFERROR(VLOOKUP(A71,Merchants!$A$2:$D$41,4,FALSE),"Merchant not found")</f>
        <v/>
      </c>
    </row>
    <row r="72">
      <c r="A72" s="2" t="n">
        <v>8</v>
      </c>
      <c r="B72" s="7" t="n">
        <v>46028</v>
      </c>
      <c r="C72" s="8">
        <f>SUMIFS(Transactions_View!$E$2:$E$548,Transactions_View!$C$2:$C$548,A72,Transactions_View!$L$2:$L$548,B72)</f>
        <v/>
      </c>
      <c r="D72" s="2">
        <f>IFERROR(VLOOKUP(A72,Merchants!$A$2:$D$41,4,FALSE),"Merchant not found")</f>
        <v/>
      </c>
    </row>
    <row r="73">
      <c r="A73" s="2" t="n">
        <v>8</v>
      </c>
      <c r="B73" s="7" t="n">
        <v>46030</v>
      </c>
      <c r="C73" s="8">
        <f>SUMIFS(Transactions_View!$E$2:$E$548,Transactions_View!$C$2:$C$548,A73,Transactions_View!$L$2:$L$548,B73)</f>
        <v/>
      </c>
      <c r="D73" s="2">
        <f>IFERROR(VLOOKUP(A73,Merchants!$A$2:$D$41,4,FALSE),"Merchant not found")</f>
        <v/>
      </c>
    </row>
    <row r="74">
      <c r="A74" s="2" t="n">
        <v>8</v>
      </c>
      <c r="B74" s="7" t="n">
        <v>46033</v>
      </c>
      <c r="C74" s="8">
        <f>SUMIFS(Transactions_View!$E$2:$E$548,Transactions_View!$C$2:$C$548,A74,Transactions_View!$L$2:$L$548,B74)</f>
        <v/>
      </c>
      <c r="D74" s="2">
        <f>IFERROR(VLOOKUP(A74,Merchants!$A$2:$D$41,4,FALSE),"Merchant not found")</f>
        <v/>
      </c>
    </row>
    <row r="75">
      <c r="A75" s="2" t="n">
        <v>8</v>
      </c>
      <c r="B75" s="7" t="n">
        <v>46034</v>
      </c>
      <c r="C75" s="8">
        <f>SUMIFS(Transactions_View!$E$2:$E$548,Transactions_View!$C$2:$C$548,A75,Transactions_View!$L$2:$L$548,B75)</f>
        <v/>
      </c>
      <c r="D75" s="2">
        <f>IFERROR(VLOOKUP(A75,Merchants!$A$2:$D$41,4,FALSE),"Merchant not found")</f>
        <v/>
      </c>
    </row>
    <row r="76">
      <c r="A76" s="2" t="n">
        <v>8</v>
      </c>
      <c r="B76" s="7" t="n">
        <v>46038</v>
      </c>
      <c r="C76" s="8">
        <f>SUMIFS(Transactions_View!$E$2:$E$548,Transactions_View!$C$2:$C$548,A76,Transactions_View!$L$2:$L$548,B76)</f>
        <v/>
      </c>
      <c r="D76" s="2">
        <f>IFERROR(VLOOKUP(A76,Merchants!$A$2:$D$41,4,FALSE),"Merchant not found")</f>
        <v/>
      </c>
    </row>
    <row r="77">
      <c r="A77" s="2" t="n">
        <v>8</v>
      </c>
      <c r="B77" s="7" t="n">
        <v>46039</v>
      </c>
      <c r="C77" s="8">
        <f>SUMIFS(Transactions_View!$E$2:$E$548,Transactions_View!$C$2:$C$548,A77,Transactions_View!$L$2:$L$548,B77)</f>
        <v/>
      </c>
      <c r="D77" s="2">
        <f>IFERROR(VLOOKUP(A77,Merchants!$A$2:$D$41,4,FALSE),"Merchant not found")</f>
        <v/>
      </c>
    </row>
    <row r="78">
      <c r="A78" s="2" t="n">
        <v>8</v>
      </c>
      <c r="B78" s="7" t="n">
        <v>46040</v>
      </c>
      <c r="C78" s="8">
        <f>SUMIFS(Transactions_View!$E$2:$E$548,Transactions_View!$C$2:$C$548,A78,Transactions_View!$L$2:$L$548,B78)</f>
        <v/>
      </c>
      <c r="D78" s="2">
        <f>IFERROR(VLOOKUP(A78,Merchants!$A$2:$D$41,4,FALSE),"Merchant not found")</f>
        <v/>
      </c>
    </row>
    <row r="79">
      <c r="A79" s="2" t="n">
        <v>8</v>
      </c>
      <c r="B79" s="7" t="n">
        <v>46041</v>
      </c>
      <c r="C79" s="8">
        <f>SUMIFS(Transactions_View!$E$2:$E$548,Transactions_View!$C$2:$C$548,A79,Transactions_View!$L$2:$L$548,B79)</f>
        <v/>
      </c>
      <c r="D79" s="2">
        <f>IFERROR(VLOOKUP(A79,Merchants!$A$2:$D$41,4,FALSE),"Merchant not found")</f>
        <v/>
      </c>
    </row>
    <row r="80">
      <c r="A80" s="2" t="n">
        <v>8</v>
      </c>
      <c r="B80" s="7" t="n">
        <v>46048</v>
      </c>
      <c r="C80" s="8">
        <f>SUMIFS(Transactions_View!$E$2:$E$548,Transactions_View!$C$2:$C$548,A80,Transactions_View!$L$2:$L$548,B80)</f>
        <v/>
      </c>
      <c r="D80" s="2">
        <f>IFERROR(VLOOKUP(A80,Merchants!$A$2:$D$41,4,FALSE),"Merchant not found")</f>
        <v/>
      </c>
    </row>
    <row r="81">
      <c r="A81" s="2" t="n">
        <v>8</v>
      </c>
      <c r="B81" s="7" t="n">
        <v>46049</v>
      </c>
      <c r="C81" s="8">
        <f>SUMIFS(Transactions_View!$E$2:$E$548,Transactions_View!$C$2:$C$548,A81,Transactions_View!$L$2:$L$548,B81)</f>
        <v/>
      </c>
      <c r="D81" s="2">
        <f>IFERROR(VLOOKUP(A81,Merchants!$A$2:$D$41,4,FALSE),"Merchant not found")</f>
        <v/>
      </c>
    </row>
    <row r="82">
      <c r="A82" s="2" t="n">
        <v>8</v>
      </c>
      <c r="B82" s="7" t="n">
        <v>46052</v>
      </c>
      <c r="C82" s="8">
        <f>SUMIFS(Transactions_View!$E$2:$E$548,Transactions_View!$C$2:$C$548,A82,Transactions_View!$L$2:$L$548,B82)</f>
        <v/>
      </c>
      <c r="D82" s="2">
        <f>IFERROR(VLOOKUP(A82,Merchants!$A$2:$D$41,4,FALSE),"Merchant not found")</f>
        <v/>
      </c>
    </row>
    <row r="83">
      <c r="A83" s="2" t="n">
        <v>9</v>
      </c>
      <c r="B83" s="7" t="n">
        <v>46023</v>
      </c>
      <c r="C83" s="8">
        <f>SUMIFS(Transactions_View!$E$2:$E$548,Transactions_View!$C$2:$C$548,A83,Transactions_View!$L$2:$L$548,B83)</f>
        <v/>
      </c>
      <c r="D83" s="2">
        <f>IFERROR(VLOOKUP(A83,Merchants!$A$2:$D$41,4,FALSE),"Merchant not found")</f>
        <v/>
      </c>
    </row>
    <row r="84">
      <c r="A84" s="2" t="n">
        <v>9</v>
      </c>
      <c r="B84" s="7" t="n">
        <v>46026</v>
      </c>
      <c r="C84" s="8">
        <f>SUMIFS(Transactions_View!$E$2:$E$548,Transactions_View!$C$2:$C$548,A84,Transactions_View!$L$2:$L$548,B84)</f>
        <v/>
      </c>
      <c r="D84" s="2">
        <f>IFERROR(VLOOKUP(A84,Merchants!$A$2:$D$41,4,FALSE),"Merchant not found")</f>
        <v/>
      </c>
    </row>
    <row r="85">
      <c r="A85" s="2" t="n">
        <v>9</v>
      </c>
      <c r="B85" s="7" t="n">
        <v>46027</v>
      </c>
      <c r="C85" s="8">
        <f>SUMIFS(Transactions_View!$E$2:$E$548,Transactions_View!$C$2:$C$548,A85,Transactions_View!$L$2:$L$548,B85)</f>
        <v/>
      </c>
      <c r="D85" s="2">
        <f>IFERROR(VLOOKUP(A85,Merchants!$A$2:$D$41,4,FALSE),"Merchant not found")</f>
        <v/>
      </c>
    </row>
    <row r="86">
      <c r="A86" s="2" t="n">
        <v>9</v>
      </c>
      <c r="B86" s="7" t="n">
        <v>46028</v>
      </c>
      <c r="C86" s="8">
        <f>SUMIFS(Transactions_View!$E$2:$E$548,Transactions_View!$C$2:$C$548,A86,Transactions_View!$L$2:$L$548,B86)</f>
        <v/>
      </c>
      <c r="D86" s="2">
        <f>IFERROR(VLOOKUP(A86,Merchants!$A$2:$D$41,4,FALSE),"Merchant not found")</f>
        <v/>
      </c>
    </row>
    <row r="87">
      <c r="A87" s="2" t="n">
        <v>9</v>
      </c>
      <c r="B87" s="7" t="n">
        <v>46031</v>
      </c>
      <c r="C87" s="8">
        <f>SUMIFS(Transactions_View!$E$2:$E$548,Transactions_View!$C$2:$C$548,A87,Transactions_View!$L$2:$L$548,B87)</f>
        <v/>
      </c>
      <c r="D87" s="2">
        <f>IFERROR(VLOOKUP(A87,Merchants!$A$2:$D$41,4,FALSE),"Merchant not found")</f>
        <v/>
      </c>
    </row>
    <row r="88">
      <c r="A88" s="2" t="n">
        <v>9</v>
      </c>
      <c r="B88" s="7" t="n">
        <v>46032</v>
      </c>
      <c r="C88" s="8">
        <f>SUMIFS(Transactions_View!$E$2:$E$548,Transactions_View!$C$2:$C$548,A88,Transactions_View!$L$2:$L$548,B88)</f>
        <v/>
      </c>
      <c r="D88" s="2">
        <f>IFERROR(VLOOKUP(A88,Merchants!$A$2:$D$41,4,FALSE),"Merchant not found")</f>
        <v/>
      </c>
    </row>
    <row r="89">
      <c r="A89" s="2" t="n">
        <v>9</v>
      </c>
      <c r="B89" s="7" t="n">
        <v>46034</v>
      </c>
      <c r="C89" s="8">
        <f>SUMIFS(Transactions_View!$E$2:$E$548,Transactions_View!$C$2:$C$548,A89,Transactions_View!$L$2:$L$548,B89)</f>
        <v/>
      </c>
      <c r="D89" s="2">
        <f>IFERROR(VLOOKUP(A89,Merchants!$A$2:$D$41,4,FALSE),"Merchant not found")</f>
        <v/>
      </c>
    </row>
    <row r="90">
      <c r="A90" s="2" t="n">
        <v>9</v>
      </c>
      <c r="B90" s="7" t="n">
        <v>46037</v>
      </c>
      <c r="C90" s="8">
        <f>SUMIFS(Transactions_View!$E$2:$E$548,Transactions_View!$C$2:$C$548,A90,Transactions_View!$L$2:$L$548,B90)</f>
        <v/>
      </c>
      <c r="D90" s="2">
        <f>IFERROR(VLOOKUP(A90,Merchants!$A$2:$D$41,4,FALSE),"Merchant not found")</f>
        <v/>
      </c>
    </row>
    <row r="91">
      <c r="A91" s="2" t="n">
        <v>9</v>
      </c>
      <c r="B91" s="7" t="n">
        <v>46039</v>
      </c>
      <c r="C91" s="8">
        <f>SUMIFS(Transactions_View!$E$2:$E$548,Transactions_View!$C$2:$C$548,A91,Transactions_View!$L$2:$L$548,B91)</f>
        <v/>
      </c>
      <c r="D91" s="2">
        <f>IFERROR(VLOOKUP(A91,Merchants!$A$2:$D$41,4,FALSE),"Merchant not found")</f>
        <v/>
      </c>
    </row>
    <row r="92">
      <c r="A92" s="2" t="n">
        <v>9</v>
      </c>
      <c r="B92" s="7" t="n">
        <v>46040</v>
      </c>
      <c r="C92" s="8">
        <f>SUMIFS(Transactions_View!$E$2:$E$548,Transactions_View!$C$2:$C$548,A92,Transactions_View!$L$2:$L$548,B92)</f>
        <v/>
      </c>
      <c r="D92" s="2">
        <f>IFERROR(VLOOKUP(A92,Merchants!$A$2:$D$41,4,FALSE),"Merchant not found")</f>
        <v/>
      </c>
    </row>
    <row r="93">
      <c r="A93" s="2" t="n">
        <v>9</v>
      </c>
      <c r="B93" s="7" t="n">
        <v>46041</v>
      </c>
      <c r="C93" s="8">
        <f>SUMIFS(Transactions_View!$E$2:$E$548,Transactions_View!$C$2:$C$548,A93,Transactions_View!$L$2:$L$548,B93)</f>
        <v/>
      </c>
      <c r="D93" s="2">
        <f>IFERROR(VLOOKUP(A93,Merchants!$A$2:$D$41,4,FALSE),"Merchant not found")</f>
        <v/>
      </c>
    </row>
    <row r="94">
      <c r="A94" s="2" t="n">
        <v>9</v>
      </c>
      <c r="B94" s="7" t="n">
        <v>46044</v>
      </c>
      <c r="C94" s="8">
        <f>SUMIFS(Transactions_View!$E$2:$E$548,Transactions_View!$C$2:$C$548,A94,Transactions_View!$L$2:$L$548,B94)</f>
        <v/>
      </c>
      <c r="D94" s="2">
        <f>IFERROR(VLOOKUP(A94,Merchants!$A$2:$D$41,4,FALSE),"Merchant not found")</f>
        <v/>
      </c>
    </row>
    <row r="95">
      <c r="A95" s="2" t="n">
        <v>9</v>
      </c>
      <c r="B95" s="7" t="n">
        <v>46045</v>
      </c>
      <c r="C95" s="8">
        <f>SUMIFS(Transactions_View!$E$2:$E$548,Transactions_View!$C$2:$C$548,A95,Transactions_View!$L$2:$L$548,B95)</f>
        <v/>
      </c>
      <c r="D95" s="2">
        <f>IFERROR(VLOOKUP(A95,Merchants!$A$2:$D$41,4,FALSE),"Merchant not found")</f>
        <v/>
      </c>
    </row>
    <row r="96">
      <c r="A96" s="2" t="n">
        <v>9</v>
      </c>
      <c r="B96" s="7" t="n">
        <v>46051</v>
      </c>
      <c r="C96" s="8">
        <f>SUMIFS(Transactions_View!$E$2:$E$548,Transactions_View!$C$2:$C$548,A96,Transactions_View!$L$2:$L$548,B96)</f>
        <v/>
      </c>
      <c r="D96" s="2">
        <f>IFERROR(VLOOKUP(A96,Merchants!$A$2:$D$41,4,FALSE),"Merchant not found")</f>
        <v/>
      </c>
    </row>
    <row r="97">
      <c r="A97" s="2" t="n">
        <v>10</v>
      </c>
      <c r="B97" s="7" t="n">
        <v>46027</v>
      </c>
      <c r="C97" s="8">
        <f>SUMIFS(Transactions_View!$E$2:$E$548,Transactions_View!$C$2:$C$548,A97,Transactions_View!$L$2:$L$548,B97)</f>
        <v/>
      </c>
      <c r="D97" s="2">
        <f>IFERROR(VLOOKUP(A97,Merchants!$A$2:$D$41,4,FALSE),"Merchant not found")</f>
        <v/>
      </c>
    </row>
    <row r="98">
      <c r="A98" s="2" t="n">
        <v>10</v>
      </c>
      <c r="B98" s="7" t="n">
        <v>46030</v>
      </c>
      <c r="C98" s="8">
        <f>SUMIFS(Transactions_View!$E$2:$E$548,Transactions_View!$C$2:$C$548,A98,Transactions_View!$L$2:$L$548,B98)</f>
        <v/>
      </c>
      <c r="D98" s="2">
        <f>IFERROR(VLOOKUP(A98,Merchants!$A$2:$D$41,4,FALSE),"Merchant not found")</f>
        <v/>
      </c>
    </row>
    <row r="99">
      <c r="A99" s="2" t="n">
        <v>10</v>
      </c>
      <c r="B99" s="7" t="n">
        <v>46033</v>
      </c>
      <c r="C99" s="8">
        <f>SUMIFS(Transactions_View!$E$2:$E$548,Transactions_View!$C$2:$C$548,A99,Transactions_View!$L$2:$L$548,B99)</f>
        <v/>
      </c>
      <c r="D99" s="2">
        <f>IFERROR(VLOOKUP(A99,Merchants!$A$2:$D$41,4,FALSE),"Merchant not found")</f>
        <v/>
      </c>
    </row>
    <row r="100">
      <c r="A100" s="2" t="n">
        <v>10</v>
      </c>
      <c r="B100" s="7" t="n">
        <v>46034</v>
      </c>
      <c r="C100" s="8">
        <f>SUMIFS(Transactions_View!$E$2:$E$548,Transactions_View!$C$2:$C$548,A100,Transactions_View!$L$2:$L$548,B100)</f>
        <v/>
      </c>
      <c r="D100" s="2">
        <f>IFERROR(VLOOKUP(A100,Merchants!$A$2:$D$41,4,FALSE),"Merchant not found")</f>
        <v/>
      </c>
    </row>
    <row r="101">
      <c r="A101" s="2" t="n">
        <v>10</v>
      </c>
      <c r="B101" s="7" t="n">
        <v>46035</v>
      </c>
      <c r="C101" s="8">
        <f>SUMIFS(Transactions_View!$E$2:$E$548,Transactions_View!$C$2:$C$548,A101,Transactions_View!$L$2:$L$548,B101)</f>
        <v/>
      </c>
      <c r="D101" s="2">
        <f>IFERROR(VLOOKUP(A101,Merchants!$A$2:$D$41,4,FALSE),"Merchant not found")</f>
        <v/>
      </c>
    </row>
    <row r="102">
      <c r="A102" s="2" t="n">
        <v>10</v>
      </c>
      <c r="B102" s="7" t="n">
        <v>46036</v>
      </c>
      <c r="C102" s="8">
        <f>SUMIFS(Transactions_View!$E$2:$E$548,Transactions_View!$C$2:$C$548,A102,Transactions_View!$L$2:$L$548,B102)</f>
        <v/>
      </c>
      <c r="D102" s="2">
        <f>IFERROR(VLOOKUP(A102,Merchants!$A$2:$D$41,4,FALSE),"Merchant not found")</f>
        <v/>
      </c>
    </row>
    <row r="103">
      <c r="A103" s="2" t="n">
        <v>10</v>
      </c>
      <c r="B103" s="7" t="n">
        <v>46037</v>
      </c>
      <c r="C103" s="8">
        <f>SUMIFS(Transactions_View!$E$2:$E$548,Transactions_View!$C$2:$C$548,A103,Transactions_View!$L$2:$L$548,B103)</f>
        <v/>
      </c>
      <c r="D103" s="2">
        <f>IFERROR(VLOOKUP(A103,Merchants!$A$2:$D$41,4,FALSE),"Merchant not found")</f>
        <v/>
      </c>
    </row>
    <row r="104">
      <c r="A104" s="2" t="n">
        <v>10</v>
      </c>
      <c r="B104" s="7" t="n">
        <v>46038</v>
      </c>
      <c r="C104" s="8">
        <f>SUMIFS(Transactions_View!$E$2:$E$548,Transactions_View!$C$2:$C$548,A104,Transactions_View!$L$2:$L$548,B104)</f>
        <v/>
      </c>
      <c r="D104" s="2">
        <f>IFERROR(VLOOKUP(A104,Merchants!$A$2:$D$41,4,FALSE),"Merchant not found")</f>
        <v/>
      </c>
    </row>
    <row r="105">
      <c r="A105" s="2" t="n">
        <v>10</v>
      </c>
      <c r="B105" s="7" t="n">
        <v>46041</v>
      </c>
      <c r="C105" s="8">
        <f>SUMIFS(Transactions_View!$E$2:$E$548,Transactions_View!$C$2:$C$548,A105,Transactions_View!$L$2:$L$548,B105)</f>
        <v/>
      </c>
      <c r="D105" s="2">
        <f>IFERROR(VLOOKUP(A105,Merchants!$A$2:$D$41,4,FALSE),"Merchant not found")</f>
        <v/>
      </c>
    </row>
    <row r="106">
      <c r="A106" s="2" t="n">
        <v>10</v>
      </c>
      <c r="B106" s="7" t="n">
        <v>46042</v>
      </c>
      <c r="C106" s="8">
        <f>SUMIFS(Transactions_View!$E$2:$E$548,Transactions_View!$C$2:$C$548,A106,Transactions_View!$L$2:$L$548,B106)</f>
        <v/>
      </c>
      <c r="D106" s="2">
        <f>IFERROR(VLOOKUP(A106,Merchants!$A$2:$D$41,4,FALSE),"Merchant not found")</f>
        <v/>
      </c>
    </row>
    <row r="107">
      <c r="A107" s="2" t="n">
        <v>10</v>
      </c>
      <c r="B107" s="7" t="n">
        <v>46043</v>
      </c>
      <c r="C107" s="8">
        <f>SUMIFS(Transactions_View!$E$2:$E$548,Transactions_View!$C$2:$C$548,A107,Transactions_View!$L$2:$L$548,B107)</f>
        <v/>
      </c>
      <c r="D107" s="2">
        <f>IFERROR(VLOOKUP(A107,Merchants!$A$2:$D$41,4,FALSE),"Merchant not found")</f>
        <v/>
      </c>
    </row>
    <row r="108">
      <c r="A108" s="2" t="n">
        <v>10</v>
      </c>
      <c r="B108" s="7" t="n">
        <v>46051</v>
      </c>
      <c r="C108" s="8">
        <f>SUMIFS(Transactions_View!$E$2:$E$548,Transactions_View!$C$2:$C$548,A108,Transactions_View!$L$2:$L$548,B108)</f>
        <v/>
      </c>
      <c r="D108" s="2">
        <f>IFERROR(VLOOKUP(A108,Merchants!$A$2:$D$41,4,FALSE),"Merchant not found")</f>
        <v/>
      </c>
    </row>
    <row r="109">
      <c r="A109" s="2" t="n">
        <v>11</v>
      </c>
      <c r="B109" s="7" t="n">
        <v>46026</v>
      </c>
      <c r="C109" s="8">
        <f>SUMIFS(Transactions_View!$E$2:$E$548,Transactions_View!$C$2:$C$548,A109,Transactions_View!$L$2:$L$548,B109)</f>
        <v/>
      </c>
      <c r="D109" s="2">
        <f>IFERROR(VLOOKUP(A109,Merchants!$A$2:$D$41,4,FALSE),"Merchant not found")</f>
        <v/>
      </c>
    </row>
    <row r="110">
      <c r="A110" s="2" t="n">
        <v>11</v>
      </c>
      <c r="B110" s="7" t="n">
        <v>46028</v>
      </c>
      <c r="C110" s="8">
        <f>SUMIFS(Transactions_View!$E$2:$E$548,Transactions_View!$C$2:$C$548,A110,Transactions_View!$L$2:$L$548,B110)</f>
        <v/>
      </c>
      <c r="D110" s="2">
        <f>IFERROR(VLOOKUP(A110,Merchants!$A$2:$D$41,4,FALSE),"Merchant not found")</f>
        <v/>
      </c>
    </row>
    <row r="111">
      <c r="A111" s="2" t="n">
        <v>11</v>
      </c>
      <c r="B111" s="7" t="n">
        <v>46029</v>
      </c>
      <c r="C111" s="8">
        <f>SUMIFS(Transactions_View!$E$2:$E$548,Transactions_View!$C$2:$C$548,A111,Transactions_View!$L$2:$L$548,B111)</f>
        <v/>
      </c>
      <c r="D111" s="2">
        <f>IFERROR(VLOOKUP(A111,Merchants!$A$2:$D$41,4,FALSE),"Merchant not found")</f>
        <v/>
      </c>
    </row>
    <row r="112">
      <c r="A112" s="2" t="n">
        <v>11</v>
      </c>
      <c r="B112" s="7" t="n">
        <v>46033</v>
      </c>
      <c r="C112" s="8">
        <f>SUMIFS(Transactions_View!$E$2:$E$548,Transactions_View!$C$2:$C$548,A112,Transactions_View!$L$2:$L$548,B112)</f>
        <v/>
      </c>
      <c r="D112" s="2">
        <f>IFERROR(VLOOKUP(A112,Merchants!$A$2:$D$41,4,FALSE),"Merchant not found")</f>
        <v/>
      </c>
    </row>
    <row r="113">
      <c r="A113" s="2" t="n">
        <v>11</v>
      </c>
      <c r="B113" s="7" t="n">
        <v>46040</v>
      </c>
      <c r="C113" s="8">
        <f>SUMIFS(Transactions_View!$E$2:$E$548,Transactions_View!$C$2:$C$548,A113,Transactions_View!$L$2:$L$548,B113)</f>
        <v/>
      </c>
      <c r="D113" s="2">
        <f>IFERROR(VLOOKUP(A113,Merchants!$A$2:$D$41,4,FALSE),"Merchant not found")</f>
        <v/>
      </c>
    </row>
    <row r="114">
      <c r="A114" s="2" t="n">
        <v>11</v>
      </c>
      <c r="B114" s="7" t="n">
        <v>46042</v>
      </c>
      <c r="C114" s="8">
        <f>SUMIFS(Transactions_View!$E$2:$E$548,Transactions_View!$C$2:$C$548,A114,Transactions_View!$L$2:$L$548,B114)</f>
        <v/>
      </c>
      <c r="D114" s="2">
        <f>IFERROR(VLOOKUP(A114,Merchants!$A$2:$D$41,4,FALSE),"Merchant not found")</f>
        <v/>
      </c>
    </row>
    <row r="115">
      <c r="A115" s="2" t="n">
        <v>11</v>
      </c>
      <c r="B115" s="7" t="n">
        <v>46043</v>
      </c>
      <c r="C115" s="8">
        <f>SUMIFS(Transactions_View!$E$2:$E$548,Transactions_View!$C$2:$C$548,A115,Transactions_View!$L$2:$L$548,B115)</f>
        <v/>
      </c>
      <c r="D115" s="2">
        <f>IFERROR(VLOOKUP(A115,Merchants!$A$2:$D$41,4,FALSE),"Merchant not found")</f>
        <v/>
      </c>
    </row>
    <row r="116">
      <c r="A116" s="2" t="n">
        <v>11</v>
      </c>
      <c r="B116" s="7" t="n">
        <v>46046</v>
      </c>
      <c r="C116" s="8">
        <f>SUMIFS(Transactions_View!$E$2:$E$548,Transactions_View!$C$2:$C$548,A116,Transactions_View!$L$2:$L$548,B116)</f>
        <v/>
      </c>
      <c r="D116" s="2">
        <f>IFERROR(VLOOKUP(A116,Merchants!$A$2:$D$41,4,FALSE),"Merchant not found")</f>
        <v/>
      </c>
    </row>
    <row r="117">
      <c r="A117" s="2" t="n">
        <v>11</v>
      </c>
      <c r="B117" s="7" t="n">
        <v>46051</v>
      </c>
      <c r="C117" s="8">
        <f>SUMIFS(Transactions_View!$E$2:$E$548,Transactions_View!$C$2:$C$548,A117,Transactions_View!$L$2:$L$548,B117)</f>
        <v/>
      </c>
      <c r="D117" s="2">
        <f>IFERROR(VLOOKUP(A117,Merchants!$A$2:$D$41,4,FALSE),"Merchant not found")</f>
        <v/>
      </c>
    </row>
    <row r="118">
      <c r="A118" s="2" t="n">
        <v>12</v>
      </c>
      <c r="B118" s="7" t="n">
        <v>46023</v>
      </c>
      <c r="C118" s="8">
        <f>SUMIFS(Transactions_View!$E$2:$E$548,Transactions_View!$C$2:$C$548,A118,Transactions_View!$L$2:$L$548,B118)</f>
        <v/>
      </c>
      <c r="D118" s="2">
        <f>IFERROR(VLOOKUP(A118,Merchants!$A$2:$D$41,4,FALSE),"Merchant not found")</f>
        <v/>
      </c>
    </row>
    <row r="119">
      <c r="A119" s="2" t="n">
        <v>12</v>
      </c>
      <c r="B119" s="7" t="n">
        <v>46031</v>
      </c>
      <c r="C119" s="8">
        <f>SUMIFS(Transactions_View!$E$2:$E$548,Transactions_View!$C$2:$C$548,A119,Transactions_View!$L$2:$L$548,B119)</f>
        <v/>
      </c>
      <c r="D119" s="2">
        <f>IFERROR(VLOOKUP(A119,Merchants!$A$2:$D$41,4,FALSE),"Merchant not found")</f>
        <v/>
      </c>
    </row>
    <row r="120">
      <c r="A120" s="2" t="n">
        <v>12</v>
      </c>
      <c r="B120" s="7" t="n">
        <v>46034</v>
      </c>
      <c r="C120" s="8">
        <f>SUMIFS(Transactions_View!$E$2:$E$548,Transactions_View!$C$2:$C$548,A120,Transactions_View!$L$2:$L$548,B120)</f>
        <v/>
      </c>
      <c r="D120" s="2">
        <f>IFERROR(VLOOKUP(A120,Merchants!$A$2:$D$41,4,FALSE),"Merchant not found")</f>
        <v/>
      </c>
    </row>
    <row r="121">
      <c r="A121" s="2" t="n">
        <v>12</v>
      </c>
      <c r="B121" s="7" t="n">
        <v>46036</v>
      </c>
      <c r="C121" s="8">
        <f>SUMIFS(Transactions_View!$E$2:$E$548,Transactions_View!$C$2:$C$548,A121,Transactions_View!$L$2:$L$548,B121)</f>
        <v/>
      </c>
      <c r="D121" s="2">
        <f>IFERROR(VLOOKUP(A121,Merchants!$A$2:$D$41,4,FALSE),"Merchant not found")</f>
        <v/>
      </c>
    </row>
    <row r="122">
      <c r="A122" s="2" t="n">
        <v>12</v>
      </c>
      <c r="B122" s="7" t="n">
        <v>46040</v>
      </c>
      <c r="C122" s="8">
        <f>SUMIFS(Transactions_View!$E$2:$E$548,Transactions_View!$C$2:$C$548,A122,Transactions_View!$L$2:$L$548,B122)</f>
        <v/>
      </c>
      <c r="D122" s="2">
        <f>IFERROR(VLOOKUP(A122,Merchants!$A$2:$D$41,4,FALSE),"Merchant not found")</f>
        <v/>
      </c>
    </row>
    <row r="123">
      <c r="A123" s="2" t="n">
        <v>12</v>
      </c>
      <c r="B123" s="7" t="n">
        <v>46044</v>
      </c>
      <c r="C123" s="8">
        <f>SUMIFS(Transactions_View!$E$2:$E$548,Transactions_View!$C$2:$C$548,A123,Transactions_View!$L$2:$L$548,B123)</f>
        <v/>
      </c>
      <c r="D123" s="2">
        <f>IFERROR(VLOOKUP(A123,Merchants!$A$2:$D$41,4,FALSE),"Merchant not found")</f>
        <v/>
      </c>
    </row>
    <row r="124">
      <c r="A124" s="2" t="n">
        <v>12</v>
      </c>
      <c r="B124" s="7" t="n">
        <v>46045</v>
      </c>
      <c r="C124" s="8">
        <f>SUMIFS(Transactions_View!$E$2:$E$548,Transactions_View!$C$2:$C$548,A124,Transactions_View!$L$2:$L$548,B124)</f>
        <v/>
      </c>
      <c r="D124" s="2">
        <f>IFERROR(VLOOKUP(A124,Merchants!$A$2:$D$41,4,FALSE),"Merchant not found")</f>
        <v/>
      </c>
    </row>
    <row r="125">
      <c r="A125" s="2" t="n">
        <v>12</v>
      </c>
      <c r="B125" s="7" t="n">
        <v>46049</v>
      </c>
      <c r="C125" s="8">
        <f>SUMIFS(Transactions_View!$E$2:$E$548,Transactions_View!$C$2:$C$548,A125,Transactions_View!$L$2:$L$548,B125)</f>
        <v/>
      </c>
      <c r="D125" s="2">
        <f>IFERROR(VLOOKUP(A125,Merchants!$A$2:$D$41,4,FALSE),"Merchant not found")</f>
        <v/>
      </c>
    </row>
    <row r="126">
      <c r="A126" s="2" t="n">
        <v>12</v>
      </c>
      <c r="B126" s="7" t="n">
        <v>46052</v>
      </c>
      <c r="C126" s="8">
        <f>SUMIFS(Transactions_View!$E$2:$E$548,Transactions_View!$C$2:$C$548,A126,Transactions_View!$L$2:$L$548,B126)</f>
        <v/>
      </c>
      <c r="D126" s="2">
        <f>IFERROR(VLOOKUP(A126,Merchants!$A$2:$D$41,4,FALSE),"Merchant not found")</f>
        <v/>
      </c>
    </row>
    <row r="127">
      <c r="A127" s="2" t="n">
        <v>13</v>
      </c>
      <c r="B127" s="7" t="n">
        <v>46030</v>
      </c>
      <c r="C127" s="8">
        <f>SUMIFS(Transactions_View!$E$2:$E$548,Transactions_View!$C$2:$C$548,A127,Transactions_View!$L$2:$L$548,B127)</f>
        <v/>
      </c>
      <c r="D127" s="2">
        <f>IFERROR(VLOOKUP(A127,Merchants!$A$2:$D$41,4,FALSE),"Merchant not found")</f>
        <v/>
      </c>
    </row>
    <row r="128">
      <c r="A128" s="2" t="n">
        <v>13</v>
      </c>
      <c r="B128" s="7" t="n">
        <v>46031</v>
      </c>
      <c r="C128" s="8">
        <f>SUMIFS(Transactions_View!$E$2:$E$548,Transactions_View!$C$2:$C$548,A128,Transactions_View!$L$2:$L$548,B128)</f>
        <v/>
      </c>
      <c r="D128" s="2">
        <f>IFERROR(VLOOKUP(A128,Merchants!$A$2:$D$41,4,FALSE),"Merchant not found")</f>
        <v/>
      </c>
    </row>
    <row r="129">
      <c r="A129" s="2" t="n">
        <v>13</v>
      </c>
      <c r="B129" s="7" t="n">
        <v>46032</v>
      </c>
      <c r="C129" s="8">
        <f>SUMIFS(Transactions_View!$E$2:$E$548,Transactions_View!$C$2:$C$548,A129,Transactions_View!$L$2:$L$548,B129)</f>
        <v/>
      </c>
      <c r="D129" s="2">
        <f>IFERROR(VLOOKUP(A129,Merchants!$A$2:$D$41,4,FALSE),"Merchant not found")</f>
        <v/>
      </c>
    </row>
    <row r="130">
      <c r="A130" s="2" t="n">
        <v>13</v>
      </c>
      <c r="B130" s="7" t="n">
        <v>46036</v>
      </c>
      <c r="C130" s="8">
        <f>SUMIFS(Transactions_View!$E$2:$E$548,Transactions_View!$C$2:$C$548,A130,Transactions_View!$L$2:$L$548,B130)</f>
        <v/>
      </c>
      <c r="D130" s="2">
        <f>IFERROR(VLOOKUP(A130,Merchants!$A$2:$D$41,4,FALSE),"Merchant not found")</f>
        <v/>
      </c>
    </row>
    <row r="131">
      <c r="A131" s="2" t="n">
        <v>13</v>
      </c>
      <c r="B131" s="7" t="n">
        <v>46037</v>
      </c>
      <c r="C131" s="8">
        <f>SUMIFS(Transactions_View!$E$2:$E$548,Transactions_View!$C$2:$C$548,A131,Transactions_View!$L$2:$L$548,B131)</f>
        <v/>
      </c>
      <c r="D131" s="2">
        <f>IFERROR(VLOOKUP(A131,Merchants!$A$2:$D$41,4,FALSE),"Merchant not found")</f>
        <v/>
      </c>
    </row>
    <row r="132">
      <c r="A132" s="2" t="n">
        <v>13</v>
      </c>
      <c r="B132" s="7" t="n">
        <v>46042</v>
      </c>
      <c r="C132" s="8">
        <f>SUMIFS(Transactions_View!$E$2:$E$548,Transactions_View!$C$2:$C$548,A132,Transactions_View!$L$2:$L$548,B132)</f>
        <v/>
      </c>
      <c r="D132" s="2">
        <f>IFERROR(VLOOKUP(A132,Merchants!$A$2:$D$41,4,FALSE),"Merchant not found")</f>
        <v/>
      </c>
    </row>
    <row r="133">
      <c r="A133" s="2" t="n">
        <v>13</v>
      </c>
      <c r="B133" s="7" t="n">
        <v>46043</v>
      </c>
      <c r="C133" s="8">
        <f>SUMIFS(Transactions_View!$E$2:$E$548,Transactions_View!$C$2:$C$548,A133,Transactions_View!$L$2:$L$548,B133)</f>
        <v/>
      </c>
      <c r="D133" s="2">
        <f>IFERROR(VLOOKUP(A133,Merchants!$A$2:$D$41,4,FALSE),"Merchant not found")</f>
        <v/>
      </c>
    </row>
    <row r="134">
      <c r="A134" s="2" t="n">
        <v>13</v>
      </c>
      <c r="B134" s="7" t="n">
        <v>46046</v>
      </c>
      <c r="C134" s="8">
        <f>SUMIFS(Transactions_View!$E$2:$E$548,Transactions_View!$C$2:$C$548,A134,Transactions_View!$L$2:$L$548,B134)</f>
        <v/>
      </c>
      <c r="D134" s="2">
        <f>IFERROR(VLOOKUP(A134,Merchants!$A$2:$D$41,4,FALSE),"Merchant not found")</f>
        <v/>
      </c>
    </row>
    <row r="135">
      <c r="A135" s="2" t="n">
        <v>13</v>
      </c>
      <c r="B135" s="7" t="n">
        <v>46048</v>
      </c>
      <c r="C135" s="8">
        <f>SUMIFS(Transactions_View!$E$2:$E$548,Transactions_View!$C$2:$C$548,A135,Transactions_View!$L$2:$L$548,B135)</f>
        <v/>
      </c>
      <c r="D135" s="2">
        <f>IFERROR(VLOOKUP(A135,Merchants!$A$2:$D$41,4,FALSE),"Merchant not found")</f>
        <v/>
      </c>
    </row>
    <row r="136">
      <c r="A136" s="2" t="n">
        <v>13</v>
      </c>
      <c r="B136" s="7" t="n">
        <v>46049</v>
      </c>
      <c r="C136" s="8">
        <f>SUMIFS(Transactions_View!$E$2:$E$548,Transactions_View!$C$2:$C$548,A136,Transactions_View!$L$2:$L$548,B136)</f>
        <v/>
      </c>
      <c r="D136" s="2">
        <f>IFERROR(VLOOKUP(A136,Merchants!$A$2:$D$41,4,FALSE),"Merchant not found")</f>
        <v/>
      </c>
    </row>
    <row r="137">
      <c r="A137" s="2" t="n">
        <v>13</v>
      </c>
      <c r="B137" s="7" t="n">
        <v>46050</v>
      </c>
      <c r="C137" s="8">
        <f>SUMIFS(Transactions_View!$E$2:$E$548,Transactions_View!$C$2:$C$548,A137,Transactions_View!$L$2:$L$548,B137)</f>
        <v/>
      </c>
      <c r="D137" s="2">
        <f>IFERROR(VLOOKUP(A137,Merchants!$A$2:$D$41,4,FALSE),"Merchant not found")</f>
        <v/>
      </c>
    </row>
    <row r="138">
      <c r="A138" s="2" t="n">
        <v>14</v>
      </c>
      <c r="B138" s="7" t="n">
        <v>46023</v>
      </c>
      <c r="C138" s="8">
        <f>SUMIFS(Transactions_View!$E$2:$E$548,Transactions_View!$C$2:$C$548,A138,Transactions_View!$L$2:$L$548,B138)</f>
        <v/>
      </c>
      <c r="D138" s="2">
        <f>IFERROR(VLOOKUP(A138,Merchants!$A$2:$D$41,4,FALSE),"Merchant not found")</f>
        <v/>
      </c>
    </row>
    <row r="139">
      <c r="A139" s="2" t="n">
        <v>14</v>
      </c>
      <c r="B139" s="7" t="n">
        <v>46024</v>
      </c>
      <c r="C139" s="8">
        <f>SUMIFS(Transactions_View!$E$2:$E$548,Transactions_View!$C$2:$C$548,A139,Transactions_View!$L$2:$L$548,B139)</f>
        <v/>
      </c>
      <c r="D139" s="2">
        <f>IFERROR(VLOOKUP(A139,Merchants!$A$2:$D$41,4,FALSE),"Merchant not found")</f>
        <v/>
      </c>
    </row>
    <row r="140">
      <c r="A140" s="2" t="n">
        <v>14</v>
      </c>
      <c r="B140" s="7" t="n">
        <v>46025</v>
      </c>
      <c r="C140" s="8">
        <f>SUMIFS(Transactions_View!$E$2:$E$548,Transactions_View!$C$2:$C$548,A140,Transactions_View!$L$2:$L$548,B140)</f>
        <v/>
      </c>
      <c r="D140" s="2">
        <f>IFERROR(VLOOKUP(A140,Merchants!$A$2:$D$41,4,FALSE),"Merchant not found")</f>
        <v/>
      </c>
    </row>
    <row r="141">
      <c r="A141" s="2" t="n">
        <v>14</v>
      </c>
      <c r="B141" s="7" t="n">
        <v>46026</v>
      </c>
      <c r="C141" s="8">
        <f>SUMIFS(Transactions_View!$E$2:$E$548,Transactions_View!$C$2:$C$548,A141,Transactions_View!$L$2:$L$548,B141)</f>
        <v/>
      </c>
      <c r="D141" s="2">
        <f>IFERROR(VLOOKUP(A141,Merchants!$A$2:$D$41,4,FALSE),"Merchant not found")</f>
        <v/>
      </c>
    </row>
    <row r="142">
      <c r="A142" s="2" t="n">
        <v>14</v>
      </c>
      <c r="B142" s="7" t="n">
        <v>46027</v>
      </c>
      <c r="C142" s="8">
        <f>SUMIFS(Transactions_View!$E$2:$E$548,Transactions_View!$C$2:$C$548,A142,Transactions_View!$L$2:$L$548,B142)</f>
        <v/>
      </c>
      <c r="D142" s="2">
        <f>IFERROR(VLOOKUP(A142,Merchants!$A$2:$D$41,4,FALSE),"Merchant not found")</f>
        <v/>
      </c>
    </row>
    <row r="143">
      <c r="A143" s="2" t="n">
        <v>14</v>
      </c>
      <c r="B143" s="7" t="n">
        <v>46029</v>
      </c>
      <c r="C143" s="8">
        <f>SUMIFS(Transactions_View!$E$2:$E$548,Transactions_View!$C$2:$C$548,A143,Transactions_View!$L$2:$L$548,B143)</f>
        <v/>
      </c>
      <c r="D143" s="2">
        <f>IFERROR(VLOOKUP(A143,Merchants!$A$2:$D$41,4,FALSE),"Merchant not found")</f>
        <v/>
      </c>
    </row>
    <row r="144">
      <c r="A144" s="2" t="n">
        <v>14</v>
      </c>
      <c r="B144" s="7" t="n">
        <v>46030</v>
      </c>
      <c r="C144" s="8">
        <f>SUMIFS(Transactions_View!$E$2:$E$548,Transactions_View!$C$2:$C$548,A144,Transactions_View!$L$2:$L$548,B144)</f>
        <v/>
      </c>
      <c r="D144" s="2">
        <f>IFERROR(VLOOKUP(A144,Merchants!$A$2:$D$41,4,FALSE),"Merchant not found")</f>
        <v/>
      </c>
    </row>
    <row r="145">
      <c r="A145" s="2" t="n">
        <v>14</v>
      </c>
      <c r="B145" s="7" t="n">
        <v>46040</v>
      </c>
      <c r="C145" s="8">
        <f>SUMIFS(Transactions_View!$E$2:$E$548,Transactions_View!$C$2:$C$548,A145,Transactions_View!$L$2:$L$548,B145)</f>
        <v/>
      </c>
      <c r="D145" s="2">
        <f>IFERROR(VLOOKUP(A145,Merchants!$A$2:$D$41,4,FALSE),"Merchant not found")</f>
        <v/>
      </c>
    </row>
    <row r="146">
      <c r="A146" s="2" t="n">
        <v>14</v>
      </c>
      <c r="B146" s="7" t="n">
        <v>46041</v>
      </c>
      <c r="C146" s="8">
        <f>SUMIFS(Transactions_View!$E$2:$E$548,Transactions_View!$C$2:$C$548,A146,Transactions_View!$L$2:$L$548,B146)</f>
        <v/>
      </c>
      <c r="D146" s="2">
        <f>IFERROR(VLOOKUP(A146,Merchants!$A$2:$D$41,4,FALSE),"Merchant not found")</f>
        <v/>
      </c>
    </row>
    <row r="147">
      <c r="A147" s="2" t="n">
        <v>14</v>
      </c>
      <c r="B147" s="7" t="n">
        <v>46042</v>
      </c>
      <c r="C147" s="8">
        <f>SUMIFS(Transactions_View!$E$2:$E$548,Transactions_View!$C$2:$C$548,A147,Transactions_View!$L$2:$L$548,B147)</f>
        <v/>
      </c>
      <c r="D147" s="2">
        <f>IFERROR(VLOOKUP(A147,Merchants!$A$2:$D$41,4,FALSE),"Merchant not found")</f>
        <v/>
      </c>
    </row>
    <row r="148">
      <c r="A148" s="2" t="n">
        <v>14</v>
      </c>
      <c r="B148" s="7" t="n">
        <v>46047</v>
      </c>
      <c r="C148" s="8">
        <f>SUMIFS(Transactions_View!$E$2:$E$548,Transactions_View!$C$2:$C$548,A148,Transactions_View!$L$2:$L$548,B148)</f>
        <v/>
      </c>
      <c r="D148" s="2">
        <f>IFERROR(VLOOKUP(A148,Merchants!$A$2:$D$41,4,FALSE),"Merchant not found")</f>
        <v/>
      </c>
    </row>
    <row r="149">
      <c r="A149" s="2" t="n">
        <v>15</v>
      </c>
      <c r="B149" s="7" t="n">
        <v>46023</v>
      </c>
      <c r="C149" s="8">
        <f>SUMIFS(Transactions_View!$E$2:$E$548,Transactions_View!$C$2:$C$548,A149,Transactions_View!$L$2:$L$548,B149)</f>
        <v/>
      </c>
      <c r="D149" s="2">
        <f>IFERROR(VLOOKUP(A149,Merchants!$A$2:$D$41,4,FALSE),"Merchant not found")</f>
        <v/>
      </c>
    </row>
    <row r="150">
      <c r="A150" s="2" t="n">
        <v>15</v>
      </c>
      <c r="B150" s="7" t="n">
        <v>46029</v>
      </c>
      <c r="C150" s="8">
        <f>SUMIFS(Transactions_View!$E$2:$E$548,Transactions_View!$C$2:$C$548,A150,Transactions_View!$L$2:$L$548,B150)</f>
        <v/>
      </c>
      <c r="D150" s="2">
        <f>IFERROR(VLOOKUP(A150,Merchants!$A$2:$D$41,4,FALSE),"Merchant not found")</f>
        <v/>
      </c>
    </row>
    <row r="151">
      <c r="A151" s="2" t="n">
        <v>15</v>
      </c>
      <c r="B151" s="7" t="n">
        <v>46032</v>
      </c>
      <c r="C151" s="8">
        <f>SUMIFS(Transactions_View!$E$2:$E$548,Transactions_View!$C$2:$C$548,A151,Transactions_View!$L$2:$L$548,B151)</f>
        <v/>
      </c>
      <c r="D151" s="2">
        <f>IFERROR(VLOOKUP(A151,Merchants!$A$2:$D$41,4,FALSE),"Merchant not found")</f>
        <v/>
      </c>
    </row>
    <row r="152">
      <c r="A152" s="2" t="n">
        <v>15</v>
      </c>
      <c r="B152" s="7" t="n">
        <v>46035</v>
      </c>
      <c r="C152" s="8">
        <f>SUMIFS(Transactions_View!$E$2:$E$548,Transactions_View!$C$2:$C$548,A152,Transactions_View!$L$2:$L$548,B152)</f>
        <v/>
      </c>
      <c r="D152" s="2">
        <f>IFERROR(VLOOKUP(A152,Merchants!$A$2:$D$41,4,FALSE),"Merchant not found")</f>
        <v/>
      </c>
    </row>
    <row r="153">
      <c r="A153" s="2" t="n">
        <v>15</v>
      </c>
      <c r="B153" s="7" t="n">
        <v>46036</v>
      </c>
      <c r="C153" s="8">
        <f>SUMIFS(Transactions_View!$E$2:$E$548,Transactions_View!$C$2:$C$548,A153,Transactions_View!$L$2:$L$548,B153)</f>
        <v/>
      </c>
      <c r="D153" s="2">
        <f>IFERROR(VLOOKUP(A153,Merchants!$A$2:$D$41,4,FALSE),"Merchant not found")</f>
        <v/>
      </c>
    </row>
    <row r="154">
      <c r="A154" s="2" t="n">
        <v>15</v>
      </c>
      <c r="B154" s="7" t="n">
        <v>46041</v>
      </c>
      <c r="C154" s="8">
        <f>SUMIFS(Transactions_View!$E$2:$E$548,Transactions_View!$C$2:$C$548,A154,Transactions_View!$L$2:$L$548,B154)</f>
        <v/>
      </c>
      <c r="D154" s="2">
        <f>IFERROR(VLOOKUP(A154,Merchants!$A$2:$D$41,4,FALSE),"Merchant not found")</f>
        <v/>
      </c>
    </row>
    <row r="155">
      <c r="A155" s="2" t="n">
        <v>15</v>
      </c>
      <c r="B155" s="7" t="n">
        <v>46046</v>
      </c>
      <c r="C155" s="8">
        <f>SUMIFS(Transactions_View!$E$2:$E$548,Transactions_View!$C$2:$C$548,A155,Transactions_View!$L$2:$L$548,B155)</f>
        <v/>
      </c>
      <c r="D155" s="2">
        <f>IFERROR(VLOOKUP(A155,Merchants!$A$2:$D$41,4,FALSE),"Merchant not found")</f>
        <v/>
      </c>
    </row>
    <row r="156">
      <c r="A156" s="2" t="n">
        <v>15</v>
      </c>
      <c r="B156" s="7" t="n">
        <v>46048</v>
      </c>
      <c r="C156" s="8">
        <f>SUMIFS(Transactions_View!$E$2:$E$548,Transactions_View!$C$2:$C$548,A156,Transactions_View!$L$2:$L$548,B156)</f>
        <v/>
      </c>
      <c r="D156" s="2">
        <f>IFERROR(VLOOKUP(A156,Merchants!$A$2:$D$41,4,FALSE),"Merchant not found")</f>
        <v/>
      </c>
    </row>
    <row r="157">
      <c r="A157" s="2" t="n">
        <v>15</v>
      </c>
      <c r="B157" s="7" t="n">
        <v>46049</v>
      </c>
      <c r="C157" s="8">
        <f>SUMIFS(Transactions_View!$E$2:$E$548,Transactions_View!$C$2:$C$548,A157,Transactions_View!$L$2:$L$548,B157)</f>
        <v/>
      </c>
      <c r="D157" s="2">
        <f>IFERROR(VLOOKUP(A157,Merchants!$A$2:$D$41,4,FALSE),"Merchant not found")</f>
        <v/>
      </c>
    </row>
    <row r="158">
      <c r="A158" s="2" t="n">
        <v>15</v>
      </c>
      <c r="B158" s="7" t="n">
        <v>46051</v>
      </c>
      <c r="C158" s="8">
        <f>SUMIFS(Transactions_View!$E$2:$E$548,Transactions_View!$C$2:$C$548,A158,Transactions_View!$L$2:$L$548,B158)</f>
        <v/>
      </c>
      <c r="D158" s="2">
        <f>IFERROR(VLOOKUP(A158,Merchants!$A$2:$D$41,4,FALSE),"Merchant not found")</f>
        <v/>
      </c>
    </row>
    <row r="159">
      <c r="A159" s="2" t="n">
        <v>16</v>
      </c>
      <c r="B159" s="7" t="n">
        <v>46024</v>
      </c>
      <c r="C159" s="8">
        <f>SUMIFS(Transactions_View!$E$2:$E$548,Transactions_View!$C$2:$C$548,A159,Transactions_View!$L$2:$L$548,B159)</f>
        <v/>
      </c>
      <c r="D159" s="2">
        <f>IFERROR(VLOOKUP(A159,Merchants!$A$2:$D$41,4,FALSE),"Merchant not found")</f>
        <v/>
      </c>
    </row>
    <row r="160">
      <c r="A160" s="2" t="n">
        <v>16</v>
      </c>
      <c r="B160" s="7" t="n">
        <v>46025</v>
      </c>
      <c r="C160" s="8">
        <f>SUMIFS(Transactions_View!$E$2:$E$548,Transactions_View!$C$2:$C$548,A160,Transactions_View!$L$2:$L$548,B160)</f>
        <v/>
      </c>
      <c r="D160" s="2">
        <f>IFERROR(VLOOKUP(A160,Merchants!$A$2:$D$41,4,FALSE),"Merchant not found")</f>
        <v/>
      </c>
    </row>
    <row r="161">
      <c r="A161" s="2" t="n">
        <v>16</v>
      </c>
      <c r="B161" s="7" t="n">
        <v>46026</v>
      </c>
      <c r="C161" s="8">
        <f>SUMIFS(Transactions_View!$E$2:$E$548,Transactions_View!$C$2:$C$548,A161,Transactions_View!$L$2:$L$548,B161)</f>
        <v/>
      </c>
      <c r="D161" s="2">
        <f>IFERROR(VLOOKUP(A161,Merchants!$A$2:$D$41,4,FALSE),"Merchant not found")</f>
        <v/>
      </c>
    </row>
    <row r="162">
      <c r="A162" s="2" t="n">
        <v>16</v>
      </c>
      <c r="B162" s="7" t="n">
        <v>46027</v>
      </c>
      <c r="C162" s="8">
        <f>SUMIFS(Transactions_View!$E$2:$E$548,Transactions_View!$C$2:$C$548,A162,Transactions_View!$L$2:$L$548,B162)</f>
        <v/>
      </c>
      <c r="D162" s="2">
        <f>IFERROR(VLOOKUP(A162,Merchants!$A$2:$D$41,4,FALSE),"Merchant not found")</f>
        <v/>
      </c>
    </row>
    <row r="163">
      <c r="A163" s="2" t="n">
        <v>16</v>
      </c>
      <c r="B163" s="7" t="n">
        <v>46033</v>
      </c>
      <c r="C163" s="8">
        <f>SUMIFS(Transactions_View!$E$2:$E$548,Transactions_View!$C$2:$C$548,A163,Transactions_View!$L$2:$L$548,B163)</f>
        <v/>
      </c>
      <c r="D163" s="2">
        <f>IFERROR(VLOOKUP(A163,Merchants!$A$2:$D$41,4,FALSE),"Merchant not found")</f>
        <v/>
      </c>
    </row>
    <row r="164">
      <c r="A164" s="2" t="n">
        <v>16</v>
      </c>
      <c r="B164" s="7" t="n">
        <v>46037</v>
      </c>
      <c r="C164" s="8">
        <f>SUMIFS(Transactions_View!$E$2:$E$548,Transactions_View!$C$2:$C$548,A164,Transactions_View!$L$2:$L$548,B164)</f>
        <v/>
      </c>
      <c r="D164" s="2">
        <f>IFERROR(VLOOKUP(A164,Merchants!$A$2:$D$41,4,FALSE),"Merchant not found")</f>
        <v/>
      </c>
    </row>
    <row r="165">
      <c r="A165" s="2" t="n">
        <v>16</v>
      </c>
      <c r="B165" s="7" t="n">
        <v>46040</v>
      </c>
      <c r="C165" s="8">
        <f>SUMIFS(Transactions_View!$E$2:$E$548,Transactions_View!$C$2:$C$548,A165,Transactions_View!$L$2:$L$548,B165)</f>
        <v/>
      </c>
      <c r="D165" s="2">
        <f>IFERROR(VLOOKUP(A165,Merchants!$A$2:$D$41,4,FALSE),"Merchant not found")</f>
        <v/>
      </c>
    </row>
    <row r="166">
      <c r="A166" s="2" t="n">
        <v>16</v>
      </c>
      <c r="B166" s="7" t="n">
        <v>46042</v>
      </c>
      <c r="C166" s="8">
        <f>SUMIFS(Transactions_View!$E$2:$E$548,Transactions_View!$C$2:$C$548,A166,Transactions_View!$L$2:$L$548,B166)</f>
        <v/>
      </c>
      <c r="D166" s="2">
        <f>IFERROR(VLOOKUP(A166,Merchants!$A$2:$D$41,4,FALSE),"Merchant not found")</f>
        <v/>
      </c>
    </row>
    <row r="167">
      <c r="A167" s="2" t="n">
        <v>16</v>
      </c>
      <c r="B167" s="7" t="n">
        <v>46045</v>
      </c>
      <c r="C167" s="8">
        <f>SUMIFS(Transactions_View!$E$2:$E$548,Transactions_View!$C$2:$C$548,A167,Transactions_View!$L$2:$L$548,B167)</f>
        <v/>
      </c>
      <c r="D167" s="2">
        <f>IFERROR(VLOOKUP(A167,Merchants!$A$2:$D$41,4,FALSE),"Merchant not found")</f>
        <v/>
      </c>
    </row>
    <row r="168">
      <c r="A168" s="2" t="n">
        <v>16</v>
      </c>
      <c r="B168" s="7" t="n">
        <v>46046</v>
      </c>
      <c r="C168" s="8">
        <f>SUMIFS(Transactions_View!$E$2:$E$548,Transactions_View!$C$2:$C$548,A168,Transactions_View!$L$2:$L$548,B168)</f>
        <v/>
      </c>
      <c r="D168" s="2">
        <f>IFERROR(VLOOKUP(A168,Merchants!$A$2:$D$41,4,FALSE),"Merchant not found")</f>
        <v/>
      </c>
    </row>
    <row r="169">
      <c r="A169" s="2" t="n">
        <v>16</v>
      </c>
      <c r="B169" s="7" t="n">
        <v>46047</v>
      </c>
      <c r="C169" s="8">
        <f>SUMIFS(Transactions_View!$E$2:$E$548,Transactions_View!$C$2:$C$548,A169,Transactions_View!$L$2:$L$548,B169)</f>
        <v/>
      </c>
      <c r="D169" s="2">
        <f>IFERROR(VLOOKUP(A169,Merchants!$A$2:$D$41,4,FALSE),"Merchant not found")</f>
        <v/>
      </c>
    </row>
    <row r="170">
      <c r="A170" s="2" t="n">
        <v>16</v>
      </c>
      <c r="B170" s="7" t="n">
        <v>46049</v>
      </c>
      <c r="C170" s="8">
        <f>SUMIFS(Transactions_View!$E$2:$E$548,Transactions_View!$C$2:$C$548,A170,Transactions_View!$L$2:$L$548,B170)</f>
        <v/>
      </c>
      <c r="D170" s="2">
        <f>IFERROR(VLOOKUP(A170,Merchants!$A$2:$D$41,4,FALSE),"Merchant not found")</f>
        <v/>
      </c>
    </row>
    <row r="171">
      <c r="A171" s="2" t="n">
        <v>16</v>
      </c>
      <c r="B171" s="7" t="n">
        <v>46050</v>
      </c>
      <c r="C171" s="8">
        <f>SUMIFS(Transactions_View!$E$2:$E$548,Transactions_View!$C$2:$C$548,A171,Transactions_View!$L$2:$L$548,B171)</f>
        <v/>
      </c>
      <c r="D171" s="2">
        <f>IFERROR(VLOOKUP(A171,Merchants!$A$2:$D$41,4,FALSE),"Merchant not found")</f>
        <v/>
      </c>
    </row>
    <row r="172">
      <c r="A172" s="2" t="n">
        <v>16</v>
      </c>
      <c r="B172" s="7" t="n">
        <v>46051</v>
      </c>
      <c r="C172" s="8">
        <f>SUMIFS(Transactions_View!$E$2:$E$548,Transactions_View!$C$2:$C$548,A172,Transactions_View!$L$2:$L$548,B172)</f>
        <v/>
      </c>
      <c r="D172" s="2">
        <f>IFERROR(VLOOKUP(A172,Merchants!$A$2:$D$41,4,FALSE),"Merchant not found")</f>
        <v/>
      </c>
    </row>
    <row r="173">
      <c r="A173" s="2" t="n">
        <v>16</v>
      </c>
      <c r="B173" s="7" t="n">
        <v>46052</v>
      </c>
      <c r="C173" s="8">
        <f>SUMIFS(Transactions_View!$E$2:$E$548,Transactions_View!$C$2:$C$548,A173,Transactions_View!$L$2:$L$548,B173)</f>
        <v/>
      </c>
      <c r="D173" s="2">
        <f>IFERROR(VLOOKUP(A173,Merchants!$A$2:$D$41,4,FALSE),"Merchant not found")</f>
        <v/>
      </c>
    </row>
    <row r="174">
      <c r="A174" s="2" t="n">
        <v>17</v>
      </c>
      <c r="B174" s="7" t="n">
        <v>46023</v>
      </c>
      <c r="C174" s="8">
        <f>SUMIFS(Transactions_View!$E$2:$E$548,Transactions_View!$C$2:$C$548,A174,Transactions_View!$L$2:$L$548,B174)</f>
        <v/>
      </c>
      <c r="D174" s="2">
        <f>IFERROR(VLOOKUP(A174,Merchants!$A$2:$D$41,4,FALSE),"Merchant not found")</f>
        <v/>
      </c>
    </row>
    <row r="175">
      <c r="A175" s="2" t="n">
        <v>17</v>
      </c>
      <c r="B175" s="7" t="n">
        <v>46024</v>
      </c>
      <c r="C175" s="8">
        <f>SUMIFS(Transactions_View!$E$2:$E$548,Transactions_View!$C$2:$C$548,A175,Transactions_View!$L$2:$L$548,B175)</f>
        <v/>
      </c>
      <c r="D175" s="2">
        <f>IFERROR(VLOOKUP(A175,Merchants!$A$2:$D$41,4,FALSE),"Merchant not found")</f>
        <v/>
      </c>
    </row>
    <row r="176">
      <c r="A176" s="2" t="n">
        <v>17</v>
      </c>
      <c r="B176" s="7" t="n">
        <v>46025</v>
      </c>
      <c r="C176" s="8">
        <f>SUMIFS(Transactions_View!$E$2:$E$548,Transactions_View!$C$2:$C$548,A176,Transactions_View!$L$2:$L$548,B176)</f>
        <v/>
      </c>
      <c r="D176" s="2">
        <f>IFERROR(VLOOKUP(A176,Merchants!$A$2:$D$41,4,FALSE),"Merchant not found")</f>
        <v/>
      </c>
    </row>
    <row r="177">
      <c r="A177" s="2" t="n">
        <v>17</v>
      </c>
      <c r="B177" s="7" t="n">
        <v>46033</v>
      </c>
      <c r="C177" s="8">
        <f>SUMIFS(Transactions_View!$E$2:$E$548,Transactions_View!$C$2:$C$548,A177,Transactions_View!$L$2:$L$548,B177)</f>
        <v/>
      </c>
      <c r="D177" s="2">
        <f>IFERROR(VLOOKUP(A177,Merchants!$A$2:$D$41,4,FALSE),"Merchant not found")</f>
        <v/>
      </c>
    </row>
    <row r="178">
      <c r="A178" s="2" t="n">
        <v>17</v>
      </c>
      <c r="B178" s="7" t="n">
        <v>46034</v>
      </c>
      <c r="C178" s="8">
        <f>SUMIFS(Transactions_View!$E$2:$E$548,Transactions_View!$C$2:$C$548,A178,Transactions_View!$L$2:$L$548,B178)</f>
        <v/>
      </c>
      <c r="D178" s="2">
        <f>IFERROR(VLOOKUP(A178,Merchants!$A$2:$D$41,4,FALSE),"Merchant not found")</f>
        <v/>
      </c>
    </row>
    <row r="179">
      <c r="A179" s="2" t="n">
        <v>17</v>
      </c>
      <c r="B179" s="7" t="n">
        <v>46039</v>
      </c>
      <c r="C179" s="8">
        <f>SUMIFS(Transactions_View!$E$2:$E$548,Transactions_View!$C$2:$C$548,A179,Transactions_View!$L$2:$L$548,B179)</f>
        <v/>
      </c>
      <c r="D179" s="2">
        <f>IFERROR(VLOOKUP(A179,Merchants!$A$2:$D$41,4,FALSE),"Merchant not found")</f>
        <v/>
      </c>
    </row>
    <row r="180">
      <c r="A180" s="2" t="n">
        <v>17</v>
      </c>
      <c r="B180" s="7" t="n">
        <v>46040</v>
      </c>
      <c r="C180" s="8">
        <f>SUMIFS(Transactions_View!$E$2:$E$548,Transactions_View!$C$2:$C$548,A180,Transactions_View!$L$2:$L$548,B180)</f>
        <v/>
      </c>
      <c r="D180" s="2">
        <f>IFERROR(VLOOKUP(A180,Merchants!$A$2:$D$41,4,FALSE),"Merchant not found")</f>
        <v/>
      </c>
    </row>
    <row r="181">
      <c r="A181" s="2" t="n">
        <v>17</v>
      </c>
      <c r="B181" s="7" t="n">
        <v>46041</v>
      </c>
      <c r="C181" s="8">
        <f>SUMIFS(Transactions_View!$E$2:$E$548,Transactions_View!$C$2:$C$548,A181,Transactions_View!$L$2:$L$548,B181)</f>
        <v/>
      </c>
      <c r="D181" s="2">
        <f>IFERROR(VLOOKUP(A181,Merchants!$A$2:$D$41,4,FALSE),"Merchant not found")</f>
        <v/>
      </c>
    </row>
    <row r="182">
      <c r="A182" s="2" t="n">
        <v>17</v>
      </c>
      <c r="B182" s="7" t="n">
        <v>46050</v>
      </c>
      <c r="C182" s="8">
        <f>SUMIFS(Transactions_View!$E$2:$E$548,Transactions_View!$C$2:$C$548,A182,Transactions_View!$L$2:$L$548,B182)</f>
        <v/>
      </c>
      <c r="D182" s="2">
        <f>IFERROR(VLOOKUP(A182,Merchants!$A$2:$D$41,4,FALSE),"Merchant not found")</f>
        <v/>
      </c>
    </row>
    <row r="183">
      <c r="A183" s="2" t="n">
        <v>17</v>
      </c>
      <c r="B183" s="7" t="n">
        <v>46052</v>
      </c>
      <c r="C183" s="8">
        <f>SUMIFS(Transactions_View!$E$2:$E$548,Transactions_View!$C$2:$C$548,A183,Transactions_View!$L$2:$L$548,B183)</f>
        <v/>
      </c>
      <c r="D183" s="2">
        <f>IFERROR(VLOOKUP(A183,Merchants!$A$2:$D$41,4,FALSE),"Merchant not found")</f>
        <v/>
      </c>
    </row>
    <row r="184">
      <c r="A184" s="2" t="n">
        <v>18</v>
      </c>
      <c r="B184" s="7" t="n">
        <v>46028</v>
      </c>
      <c r="C184" s="8">
        <f>SUMIFS(Transactions_View!$E$2:$E$548,Transactions_View!$C$2:$C$548,A184,Transactions_View!$L$2:$L$548,B184)</f>
        <v/>
      </c>
      <c r="D184" s="2">
        <f>IFERROR(VLOOKUP(A184,Merchants!$A$2:$D$41,4,FALSE),"Merchant not found")</f>
        <v/>
      </c>
    </row>
    <row r="185">
      <c r="A185" s="2" t="n">
        <v>18</v>
      </c>
      <c r="B185" s="7" t="n">
        <v>46033</v>
      </c>
      <c r="C185" s="8">
        <f>SUMIFS(Transactions_View!$E$2:$E$548,Transactions_View!$C$2:$C$548,A185,Transactions_View!$L$2:$L$548,B185)</f>
        <v/>
      </c>
      <c r="D185" s="2">
        <f>IFERROR(VLOOKUP(A185,Merchants!$A$2:$D$41,4,FALSE),"Merchant not found")</f>
        <v/>
      </c>
    </row>
    <row r="186">
      <c r="A186" s="2" t="n">
        <v>18</v>
      </c>
      <c r="B186" s="7" t="n">
        <v>46034</v>
      </c>
      <c r="C186" s="8">
        <f>SUMIFS(Transactions_View!$E$2:$E$548,Transactions_View!$C$2:$C$548,A186,Transactions_View!$L$2:$L$548,B186)</f>
        <v/>
      </c>
      <c r="D186" s="2">
        <f>IFERROR(VLOOKUP(A186,Merchants!$A$2:$D$41,4,FALSE),"Merchant not found")</f>
        <v/>
      </c>
    </row>
    <row r="187">
      <c r="A187" s="2" t="n">
        <v>18</v>
      </c>
      <c r="B187" s="7" t="n">
        <v>46036</v>
      </c>
      <c r="C187" s="8">
        <f>SUMIFS(Transactions_View!$E$2:$E$548,Transactions_View!$C$2:$C$548,A187,Transactions_View!$L$2:$L$548,B187)</f>
        <v/>
      </c>
      <c r="D187" s="2">
        <f>IFERROR(VLOOKUP(A187,Merchants!$A$2:$D$41,4,FALSE),"Merchant not found")</f>
        <v/>
      </c>
    </row>
    <row r="188">
      <c r="A188" s="2" t="n">
        <v>18</v>
      </c>
      <c r="B188" s="7" t="n">
        <v>46037</v>
      </c>
      <c r="C188" s="8">
        <f>SUMIFS(Transactions_View!$E$2:$E$548,Transactions_View!$C$2:$C$548,A188,Transactions_View!$L$2:$L$548,B188)</f>
        <v/>
      </c>
      <c r="D188" s="2">
        <f>IFERROR(VLOOKUP(A188,Merchants!$A$2:$D$41,4,FALSE),"Merchant not found")</f>
        <v/>
      </c>
    </row>
    <row r="189">
      <c r="A189" s="2" t="n">
        <v>18</v>
      </c>
      <c r="B189" s="7" t="n">
        <v>46038</v>
      </c>
      <c r="C189" s="8">
        <f>SUMIFS(Transactions_View!$E$2:$E$548,Transactions_View!$C$2:$C$548,A189,Transactions_View!$L$2:$L$548,B189)</f>
        <v/>
      </c>
      <c r="D189" s="2">
        <f>IFERROR(VLOOKUP(A189,Merchants!$A$2:$D$41,4,FALSE),"Merchant not found")</f>
        <v/>
      </c>
    </row>
    <row r="190">
      <c r="A190" s="2" t="n">
        <v>18</v>
      </c>
      <c r="B190" s="7" t="n">
        <v>46040</v>
      </c>
      <c r="C190" s="8">
        <f>SUMIFS(Transactions_View!$E$2:$E$548,Transactions_View!$C$2:$C$548,A190,Transactions_View!$L$2:$L$548,B190)</f>
        <v/>
      </c>
      <c r="D190" s="2">
        <f>IFERROR(VLOOKUP(A190,Merchants!$A$2:$D$41,4,FALSE),"Merchant not found")</f>
        <v/>
      </c>
    </row>
    <row r="191">
      <c r="A191" s="2" t="n">
        <v>18</v>
      </c>
      <c r="B191" s="7" t="n">
        <v>46042</v>
      </c>
      <c r="C191" s="8">
        <f>SUMIFS(Transactions_View!$E$2:$E$548,Transactions_View!$C$2:$C$548,A191,Transactions_View!$L$2:$L$548,B191)</f>
        <v/>
      </c>
      <c r="D191" s="2">
        <f>IFERROR(VLOOKUP(A191,Merchants!$A$2:$D$41,4,FALSE),"Merchant not found")</f>
        <v/>
      </c>
    </row>
    <row r="192">
      <c r="A192" s="2" t="n">
        <v>18</v>
      </c>
      <c r="B192" s="7" t="n">
        <v>46047</v>
      </c>
      <c r="C192" s="8">
        <f>SUMIFS(Transactions_View!$E$2:$E$548,Transactions_View!$C$2:$C$548,A192,Transactions_View!$L$2:$L$548,B192)</f>
        <v/>
      </c>
      <c r="D192" s="2">
        <f>IFERROR(VLOOKUP(A192,Merchants!$A$2:$D$41,4,FALSE),"Merchant not found")</f>
        <v/>
      </c>
    </row>
    <row r="193">
      <c r="A193" s="2" t="n">
        <v>19</v>
      </c>
      <c r="B193" s="7" t="n">
        <v>46024</v>
      </c>
      <c r="C193" s="8">
        <f>SUMIFS(Transactions_View!$E$2:$E$548,Transactions_View!$C$2:$C$548,A193,Transactions_View!$L$2:$L$548,B193)</f>
        <v/>
      </c>
      <c r="D193" s="2">
        <f>IFERROR(VLOOKUP(A193,Merchants!$A$2:$D$41,4,FALSE),"Merchant not found")</f>
        <v/>
      </c>
    </row>
    <row r="194">
      <c r="A194" s="2" t="n">
        <v>19</v>
      </c>
      <c r="B194" s="7" t="n">
        <v>46028</v>
      </c>
      <c r="C194" s="8">
        <f>SUMIFS(Transactions_View!$E$2:$E$548,Transactions_View!$C$2:$C$548,A194,Transactions_View!$L$2:$L$548,B194)</f>
        <v/>
      </c>
      <c r="D194" s="2">
        <f>IFERROR(VLOOKUP(A194,Merchants!$A$2:$D$41,4,FALSE),"Merchant not found")</f>
        <v/>
      </c>
    </row>
    <row r="195">
      <c r="A195" s="2" t="n">
        <v>19</v>
      </c>
      <c r="B195" s="7" t="n">
        <v>46031</v>
      </c>
      <c r="C195" s="8">
        <f>SUMIFS(Transactions_View!$E$2:$E$548,Transactions_View!$C$2:$C$548,A195,Transactions_View!$L$2:$L$548,B195)</f>
        <v/>
      </c>
      <c r="D195" s="2">
        <f>IFERROR(VLOOKUP(A195,Merchants!$A$2:$D$41,4,FALSE),"Merchant not found")</f>
        <v/>
      </c>
    </row>
    <row r="196">
      <c r="A196" s="2" t="n">
        <v>19</v>
      </c>
      <c r="B196" s="7" t="n">
        <v>46032</v>
      </c>
      <c r="C196" s="8">
        <f>SUMIFS(Transactions_View!$E$2:$E$548,Transactions_View!$C$2:$C$548,A196,Transactions_View!$L$2:$L$548,B196)</f>
        <v/>
      </c>
      <c r="D196" s="2">
        <f>IFERROR(VLOOKUP(A196,Merchants!$A$2:$D$41,4,FALSE),"Merchant not found")</f>
        <v/>
      </c>
    </row>
    <row r="197">
      <c r="A197" s="2" t="n">
        <v>19</v>
      </c>
      <c r="B197" s="7" t="n">
        <v>46037</v>
      </c>
      <c r="C197" s="8">
        <f>SUMIFS(Transactions_View!$E$2:$E$548,Transactions_View!$C$2:$C$548,A197,Transactions_View!$L$2:$L$548,B197)</f>
        <v/>
      </c>
      <c r="D197" s="2">
        <f>IFERROR(VLOOKUP(A197,Merchants!$A$2:$D$41,4,FALSE),"Merchant not found")</f>
        <v/>
      </c>
    </row>
    <row r="198">
      <c r="A198" s="2" t="n">
        <v>19</v>
      </c>
      <c r="B198" s="7" t="n">
        <v>46038</v>
      </c>
      <c r="C198" s="8">
        <f>SUMIFS(Transactions_View!$E$2:$E$548,Transactions_View!$C$2:$C$548,A198,Transactions_View!$L$2:$L$548,B198)</f>
        <v/>
      </c>
      <c r="D198" s="2">
        <f>IFERROR(VLOOKUP(A198,Merchants!$A$2:$D$41,4,FALSE),"Merchant not found")</f>
        <v/>
      </c>
    </row>
    <row r="199">
      <c r="A199" s="2" t="n">
        <v>19</v>
      </c>
      <c r="B199" s="7" t="n">
        <v>46041</v>
      </c>
      <c r="C199" s="8">
        <f>SUMIFS(Transactions_View!$E$2:$E$548,Transactions_View!$C$2:$C$548,A199,Transactions_View!$L$2:$L$548,B199)</f>
        <v/>
      </c>
      <c r="D199" s="2">
        <f>IFERROR(VLOOKUP(A199,Merchants!$A$2:$D$41,4,FALSE),"Merchant not found")</f>
        <v/>
      </c>
    </row>
    <row r="200">
      <c r="A200" s="2" t="n">
        <v>19</v>
      </c>
      <c r="B200" s="7" t="n">
        <v>46042</v>
      </c>
      <c r="C200" s="8">
        <f>SUMIFS(Transactions_View!$E$2:$E$548,Transactions_View!$C$2:$C$548,A200,Transactions_View!$L$2:$L$548,B200)</f>
        <v/>
      </c>
      <c r="D200" s="2">
        <f>IFERROR(VLOOKUP(A200,Merchants!$A$2:$D$41,4,FALSE),"Merchant not found")</f>
        <v/>
      </c>
    </row>
    <row r="201">
      <c r="A201" s="2" t="n">
        <v>19</v>
      </c>
      <c r="B201" s="7" t="n">
        <v>46044</v>
      </c>
      <c r="C201" s="8">
        <f>SUMIFS(Transactions_View!$E$2:$E$548,Transactions_View!$C$2:$C$548,A201,Transactions_View!$L$2:$L$548,B201)</f>
        <v/>
      </c>
      <c r="D201" s="2">
        <f>IFERROR(VLOOKUP(A201,Merchants!$A$2:$D$41,4,FALSE),"Merchant not found")</f>
        <v/>
      </c>
    </row>
    <row r="202">
      <c r="A202" s="2" t="n">
        <v>19</v>
      </c>
      <c r="B202" s="7" t="n">
        <v>46046</v>
      </c>
      <c r="C202" s="8">
        <f>SUMIFS(Transactions_View!$E$2:$E$548,Transactions_View!$C$2:$C$548,A202,Transactions_View!$L$2:$L$548,B202)</f>
        <v/>
      </c>
      <c r="D202" s="2">
        <f>IFERROR(VLOOKUP(A202,Merchants!$A$2:$D$41,4,FALSE),"Merchant not found")</f>
        <v/>
      </c>
    </row>
    <row r="203">
      <c r="A203" s="2" t="n">
        <v>19</v>
      </c>
      <c r="B203" s="7" t="n">
        <v>46047</v>
      </c>
      <c r="C203" s="8">
        <f>SUMIFS(Transactions_View!$E$2:$E$548,Transactions_View!$C$2:$C$548,A203,Transactions_View!$L$2:$L$548,B203)</f>
        <v/>
      </c>
      <c r="D203" s="2">
        <f>IFERROR(VLOOKUP(A203,Merchants!$A$2:$D$41,4,FALSE),"Merchant not found")</f>
        <v/>
      </c>
    </row>
    <row r="204">
      <c r="A204" s="2" t="n">
        <v>19</v>
      </c>
      <c r="B204" s="7" t="n">
        <v>46048</v>
      </c>
      <c r="C204" s="8">
        <f>SUMIFS(Transactions_View!$E$2:$E$548,Transactions_View!$C$2:$C$548,A204,Transactions_View!$L$2:$L$548,B204)</f>
        <v/>
      </c>
      <c r="D204" s="2">
        <f>IFERROR(VLOOKUP(A204,Merchants!$A$2:$D$41,4,FALSE),"Merchant not found")</f>
        <v/>
      </c>
    </row>
    <row r="205">
      <c r="A205" s="2" t="n">
        <v>20</v>
      </c>
      <c r="B205" s="7" t="n">
        <v>46024</v>
      </c>
      <c r="C205" s="8">
        <f>SUMIFS(Transactions_View!$E$2:$E$548,Transactions_View!$C$2:$C$548,A205,Transactions_View!$L$2:$L$548,B205)</f>
        <v/>
      </c>
      <c r="D205" s="2">
        <f>IFERROR(VLOOKUP(A205,Merchants!$A$2:$D$41,4,FALSE),"Merchant not found")</f>
        <v/>
      </c>
    </row>
    <row r="206">
      <c r="A206" s="2" t="n">
        <v>20</v>
      </c>
      <c r="B206" s="7" t="n">
        <v>46025</v>
      </c>
      <c r="C206" s="8">
        <f>SUMIFS(Transactions_View!$E$2:$E$548,Transactions_View!$C$2:$C$548,A206,Transactions_View!$L$2:$L$548,B206)</f>
        <v/>
      </c>
      <c r="D206" s="2">
        <f>IFERROR(VLOOKUP(A206,Merchants!$A$2:$D$41,4,FALSE),"Merchant not found")</f>
        <v/>
      </c>
    </row>
    <row r="207">
      <c r="A207" s="2" t="n">
        <v>20</v>
      </c>
      <c r="B207" s="7" t="n">
        <v>46026</v>
      </c>
      <c r="C207" s="8">
        <f>SUMIFS(Transactions_View!$E$2:$E$548,Transactions_View!$C$2:$C$548,A207,Transactions_View!$L$2:$L$548,B207)</f>
        <v/>
      </c>
      <c r="D207" s="2">
        <f>IFERROR(VLOOKUP(A207,Merchants!$A$2:$D$41,4,FALSE),"Merchant not found")</f>
        <v/>
      </c>
    </row>
    <row r="208">
      <c r="A208" s="2" t="n">
        <v>20</v>
      </c>
      <c r="B208" s="7" t="n">
        <v>46032</v>
      </c>
      <c r="C208" s="8">
        <f>SUMIFS(Transactions_View!$E$2:$E$548,Transactions_View!$C$2:$C$548,A208,Transactions_View!$L$2:$L$548,B208)</f>
        <v/>
      </c>
      <c r="D208" s="2">
        <f>IFERROR(VLOOKUP(A208,Merchants!$A$2:$D$41,4,FALSE),"Merchant not found")</f>
        <v/>
      </c>
    </row>
    <row r="209">
      <c r="A209" s="2" t="n">
        <v>20</v>
      </c>
      <c r="B209" s="7" t="n">
        <v>46043</v>
      </c>
      <c r="C209" s="8">
        <f>SUMIFS(Transactions_View!$E$2:$E$548,Transactions_View!$C$2:$C$548,A209,Transactions_View!$L$2:$L$548,B209)</f>
        <v/>
      </c>
      <c r="D209" s="2">
        <f>IFERROR(VLOOKUP(A209,Merchants!$A$2:$D$41,4,FALSE),"Merchant not found")</f>
        <v/>
      </c>
    </row>
    <row r="210">
      <c r="A210" s="2" t="n">
        <v>20</v>
      </c>
      <c r="B210" s="7" t="n">
        <v>46045</v>
      </c>
      <c r="C210" s="8">
        <f>SUMIFS(Transactions_View!$E$2:$E$548,Transactions_View!$C$2:$C$548,A210,Transactions_View!$L$2:$L$548,B210)</f>
        <v/>
      </c>
      <c r="D210" s="2">
        <f>IFERROR(VLOOKUP(A210,Merchants!$A$2:$D$41,4,FALSE),"Merchant not found")</f>
        <v/>
      </c>
    </row>
    <row r="211">
      <c r="A211" s="2" t="n">
        <v>20</v>
      </c>
      <c r="B211" s="7" t="n">
        <v>46046</v>
      </c>
      <c r="C211" s="8">
        <f>SUMIFS(Transactions_View!$E$2:$E$548,Transactions_View!$C$2:$C$548,A211,Transactions_View!$L$2:$L$548,B211)</f>
        <v/>
      </c>
      <c r="D211" s="2">
        <f>IFERROR(VLOOKUP(A211,Merchants!$A$2:$D$41,4,FALSE),"Merchant not found")</f>
        <v/>
      </c>
    </row>
    <row r="212">
      <c r="A212" s="2" t="n">
        <v>20</v>
      </c>
      <c r="B212" s="7" t="n">
        <v>46051</v>
      </c>
      <c r="C212" s="8">
        <f>SUMIFS(Transactions_View!$E$2:$E$548,Transactions_View!$C$2:$C$548,A212,Transactions_View!$L$2:$L$548,B212)</f>
        <v/>
      </c>
      <c r="D212" s="2">
        <f>IFERROR(VLOOKUP(A212,Merchants!$A$2:$D$41,4,FALSE),"Merchant not found")</f>
        <v/>
      </c>
    </row>
    <row r="213">
      <c r="A213" s="2" t="n">
        <v>21</v>
      </c>
      <c r="B213" s="7" t="n">
        <v>46023</v>
      </c>
      <c r="C213" s="8">
        <f>SUMIFS(Transactions_View!$E$2:$E$548,Transactions_View!$C$2:$C$548,A213,Transactions_View!$L$2:$L$548,B213)</f>
        <v/>
      </c>
      <c r="D213" s="2">
        <f>IFERROR(VLOOKUP(A213,Merchants!$A$2:$D$41,4,FALSE),"Merchant not found")</f>
        <v/>
      </c>
    </row>
    <row r="214">
      <c r="A214" s="2" t="n">
        <v>21</v>
      </c>
      <c r="B214" s="7" t="n">
        <v>46027</v>
      </c>
      <c r="C214" s="8">
        <f>SUMIFS(Transactions_View!$E$2:$E$548,Transactions_View!$C$2:$C$548,A214,Transactions_View!$L$2:$L$548,B214)</f>
        <v/>
      </c>
      <c r="D214" s="2">
        <f>IFERROR(VLOOKUP(A214,Merchants!$A$2:$D$41,4,FALSE),"Merchant not found")</f>
        <v/>
      </c>
    </row>
    <row r="215">
      <c r="A215" s="2" t="n">
        <v>21</v>
      </c>
      <c r="B215" s="7" t="n">
        <v>46031</v>
      </c>
      <c r="C215" s="8">
        <f>SUMIFS(Transactions_View!$E$2:$E$548,Transactions_View!$C$2:$C$548,A215,Transactions_View!$L$2:$L$548,B215)</f>
        <v/>
      </c>
      <c r="D215" s="2">
        <f>IFERROR(VLOOKUP(A215,Merchants!$A$2:$D$41,4,FALSE),"Merchant not found")</f>
        <v/>
      </c>
    </row>
    <row r="216">
      <c r="A216" s="2" t="n">
        <v>21</v>
      </c>
      <c r="B216" s="7" t="n">
        <v>46036</v>
      </c>
      <c r="C216" s="8">
        <f>SUMIFS(Transactions_View!$E$2:$E$548,Transactions_View!$C$2:$C$548,A216,Transactions_View!$L$2:$L$548,B216)</f>
        <v/>
      </c>
      <c r="D216" s="2">
        <f>IFERROR(VLOOKUP(A216,Merchants!$A$2:$D$41,4,FALSE),"Merchant not found")</f>
        <v/>
      </c>
    </row>
    <row r="217">
      <c r="A217" s="2" t="n">
        <v>21</v>
      </c>
      <c r="B217" s="7" t="n">
        <v>46037</v>
      </c>
      <c r="C217" s="8">
        <f>SUMIFS(Transactions_View!$E$2:$E$548,Transactions_View!$C$2:$C$548,A217,Transactions_View!$L$2:$L$548,B217)</f>
        <v/>
      </c>
      <c r="D217" s="2">
        <f>IFERROR(VLOOKUP(A217,Merchants!$A$2:$D$41,4,FALSE),"Merchant not found")</f>
        <v/>
      </c>
    </row>
    <row r="218">
      <c r="A218" s="2" t="n">
        <v>21</v>
      </c>
      <c r="B218" s="7" t="n">
        <v>46038</v>
      </c>
      <c r="C218" s="8">
        <f>SUMIFS(Transactions_View!$E$2:$E$548,Transactions_View!$C$2:$C$548,A218,Transactions_View!$L$2:$L$548,B218)</f>
        <v/>
      </c>
      <c r="D218" s="2">
        <f>IFERROR(VLOOKUP(A218,Merchants!$A$2:$D$41,4,FALSE),"Merchant not found")</f>
        <v/>
      </c>
    </row>
    <row r="219">
      <c r="A219" s="2" t="n">
        <v>21</v>
      </c>
      <c r="B219" s="7" t="n">
        <v>46040</v>
      </c>
      <c r="C219" s="8">
        <f>SUMIFS(Transactions_View!$E$2:$E$548,Transactions_View!$C$2:$C$548,A219,Transactions_View!$L$2:$L$548,B219)</f>
        <v/>
      </c>
      <c r="D219" s="2">
        <f>IFERROR(VLOOKUP(A219,Merchants!$A$2:$D$41,4,FALSE),"Merchant not found")</f>
        <v/>
      </c>
    </row>
    <row r="220">
      <c r="A220" s="2" t="n">
        <v>21</v>
      </c>
      <c r="B220" s="7" t="n">
        <v>46041</v>
      </c>
      <c r="C220" s="8">
        <f>SUMIFS(Transactions_View!$E$2:$E$548,Transactions_View!$C$2:$C$548,A220,Transactions_View!$L$2:$L$548,B220)</f>
        <v/>
      </c>
      <c r="D220" s="2">
        <f>IFERROR(VLOOKUP(A220,Merchants!$A$2:$D$41,4,FALSE),"Merchant not found")</f>
        <v/>
      </c>
    </row>
    <row r="221">
      <c r="A221" s="2" t="n">
        <v>21</v>
      </c>
      <c r="B221" s="7" t="n">
        <v>46042</v>
      </c>
      <c r="C221" s="8">
        <f>SUMIFS(Transactions_View!$E$2:$E$548,Transactions_View!$C$2:$C$548,A221,Transactions_View!$L$2:$L$548,B221)</f>
        <v/>
      </c>
      <c r="D221" s="2">
        <f>IFERROR(VLOOKUP(A221,Merchants!$A$2:$D$41,4,FALSE),"Merchant not found")</f>
        <v/>
      </c>
    </row>
    <row r="222">
      <c r="A222" s="2" t="n">
        <v>21</v>
      </c>
      <c r="B222" s="7" t="n">
        <v>46043</v>
      </c>
      <c r="C222" s="8">
        <f>SUMIFS(Transactions_View!$E$2:$E$548,Transactions_View!$C$2:$C$548,A222,Transactions_View!$L$2:$L$548,B222)</f>
        <v/>
      </c>
      <c r="D222" s="2">
        <f>IFERROR(VLOOKUP(A222,Merchants!$A$2:$D$41,4,FALSE),"Merchant not found")</f>
        <v/>
      </c>
    </row>
    <row r="223">
      <c r="A223" s="2" t="n">
        <v>21</v>
      </c>
      <c r="B223" s="7" t="n">
        <v>46047</v>
      </c>
      <c r="C223" s="8">
        <f>SUMIFS(Transactions_View!$E$2:$E$548,Transactions_View!$C$2:$C$548,A223,Transactions_View!$L$2:$L$548,B223)</f>
        <v/>
      </c>
      <c r="D223" s="2">
        <f>IFERROR(VLOOKUP(A223,Merchants!$A$2:$D$41,4,FALSE),"Merchant not found")</f>
        <v/>
      </c>
    </row>
    <row r="224">
      <c r="A224" s="2" t="n">
        <v>21</v>
      </c>
      <c r="B224" s="7" t="n">
        <v>46048</v>
      </c>
      <c r="C224" s="8">
        <f>SUMIFS(Transactions_View!$E$2:$E$548,Transactions_View!$C$2:$C$548,A224,Transactions_View!$L$2:$L$548,B224)</f>
        <v/>
      </c>
      <c r="D224" s="2">
        <f>IFERROR(VLOOKUP(A224,Merchants!$A$2:$D$41,4,FALSE),"Merchant not found")</f>
        <v/>
      </c>
    </row>
    <row r="225">
      <c r="A225" s="2" t="n">
        <v>21</v>
      </c>
      <c r="B225" s="7" t="n">
        <v>46049</v>
      </c>
      <c r="C225" s="8">
        <f>SUMIFS(Transactions_View!$E$2:$E$548,Transactions_View!$C$2:$C$548,A225,Transactions_View!$L$2:$L$548,B225)</f>
        <v/>
      </c>
      <c r="D225" s="2">
        <f>IFERROR(VLOOKUP(A225,Merchants!$A$2:$D$41,4,FALSE),"Merchant not found")</f>
        <v/>
      </c>
    </row>
    <row r="226">
      <c r="A226" s="2" t="n">
        <v>22</v>
      </c>
      <c r="B226" s="7" t="n">
        <v>46023</v>
      </c>
      <c r="C226" s="8">
        <f>SUMIFS(Transactions_View!$E$2:$E$548,Transactions_View!$C$2:$C$548,A226,Transactions_View!$L$2:$L$548,B226)</f>
        <v/>
      </c>
      <c r="D226" s="2">
        <f>IFERROR(VLOOKUP(A226,Merchants!$A$2:$D$41,4,FALSE),"Merchant not found")</f>
        <v/>
      </c>
    </row>
    <row r="227">
      <c r="A227" s="2" t="n">
        <v>22</v>
      </c>
      <c r="B227" s="7" t="n">
        <v>46027</v>
      </c>
      <c r="C227" s="8">
        <f>SUMIFS(Transactions_View!$E$2:$E$548,Transactions_View!$C$2:$C$548,A227,Transactions_View!$L$2:$L$548,B227)</f>
        <v/>
      </c>
      <c r="D227" s="2">
        <f>IFERROR(VLOOKUP(A227,Merchants!$A$2:$D$41,4,FALSE),"Merchant not found")</f>
        <v/>
      </c>
    </row>
    <row r="228">
      <c r="A228" s="2" t="n">
        <v>22</v>
      </c>
      <c r="B228" s="7" t="n">
        <v>46029</v>
      </c>
      <c r="C228" s="8">
        <f>SUMIFS(Transactions_View!$E$2:$E$548,Transactions_View!$C$2:$C$548,A228,Transactions_View!$L$2:$L$548,B228)</f>
        <v/>
      </c>
      <c r="D228" s="2">
        <f>IFERROR(VLOOKUP(A228,Merchants!$A$2:$D$41,4,FALSE),"Merchant not found")</f>
        <v/>
      </c>
    </row>
    <row r="229">
      <c r="A229" s="2" t="n">
        <v>22</v>
      </c>
      <c r="B229" s="7" t="n">
        <v>46032</v>
      </c>
      <c r="C229" s="8">
        <f>SUMIFS(Transactions_View!$E$2:$E$548,Transactions_View!$C$2:$C$548,A229,Transactions_View!$L$2:$L$548,B229)</f>
        <v/>
      </c>
      <c r="D229" s="2">
        <f>IFERROR(VLOOKUP(A229,Merchants!$A$2:$D$41,4,FALSE),"Merchant not found")</f>
        <v/>
      </c>
    </row>
    <row r="230">
      <c r="A230" s="2" t="n">
        <v>22</v>
      </c>
      <c r="B230" s="7" t="n">
        <v>46033</v>
      </c>
      <c r="C230" s="8">
        <f>SUMIFS(Transactions_View!$E$2:$E$548,Transactions_View!$C$2:$C$548,A230,Transactions_View!$L$2:$L$548,B230)</f>
        <v/>
      </c>
      <c r="D230" s="2">
        <f>IFERROR(VLOOKUP(A230,Merchants!$A$2:$D$41,4,FALSE),"Merchant not found")</f>
        <v/>
      </c>
    </row>
    <row r="231">
      <c r="A231" s="2" t="n">
        <v>22</v>
      </c>
      <c r="B231" s="7" t="n">
        <v>46034</v>
      </c>
      <c r="C231" s="8">
        <f>SUMIFS(Transactions_View!$E$2:$E$548,Transactions_View!$C$2:$C$548,A231,Transactions_View!$L$2:$L$548,B231)</f>
        <v/>
      </c>
      <c r="D231" s="2">
        <f>IFERROR(VLOOKUP(A231,Merchants!$A$2:$D$41,4,FALSE),"Merchant not found")</f>
        <v/>
      </c>
    </row>
    <row r="232">
      <c r="A232" s="2" t="n">
        <v>22</v>
      </c>
      <c r="B232" s="7" t="n">
        <v>46035</v>
      </c>
      <c r="C232" s="8">
        <f>SUMIFS(Transactions_View!$E$2:$E$548,Transactions_View!$C$2:$C$548,A232,Transactions_View!$L$2:$L$548,B232)</f>
        <v/>
      </c>
      <c r="D232" s="2">
        <f>IFERROR(VLOOKUP(A232,Merchants!$A$2:$D$41,4,FALSE),"Merchant not found")</f>
        <v/>
      </c>
    </row>
    <row r="233">
      <c r="A233" s="2" t="n">
        <v>22</v>
      </c>
      <c r="B233" s="7" t="n">
        <v>46036</v>
      </c>
      <c r="C233" s="8">
        <f>SUMIFS(Transactions_View!$E$2:$E$548,Transactions_View!$C$2:$C$548,A233,Transactions_View!$L$2:$L$548,B233)</f>
        <v/>
      </c>
      <c r="D233" s="2">
        <f>IFERROR(VLOOKUP(A233,Merchants!$A$2:$D$41,4,FALSE),"Merchant not found")</f>
        <v/>
      </c>
    </row>
    <row r="234">
      <c r="A234" s="2" t="n">
        <v>22</v>
      </c>
      <c r="B234" s="7" t="n">
        <v>46039</v>
      </c>
      <c r="C234" s="8">
        <f>SUMIFS(Transactions_View!$E$2:$E$548,Transactions_View!$C$2:$C$548,A234,Transactions_View!$L$2:$L$548,B234)</f>
        <v/>
      </c>
      <c r="D234" s="2">
        <f>IFERROR(VLOOKUP(A234,Merchants!$A$2:$D$41,4,FALSE),"Merchant not found")</f>
        <v/>
      </c>
    </row>
    <row r="235">
      <c r="A235" s="2" t="n">
        <v>22</v>
      </c>
      <c r="B235" s="7" t="n">
        <v>46045</v>
      </c>
      <c r="C235" s="8">
        <f>SUMIFS(Transactions_View!$E$2:$E$548,Transactions_View!$C$2:$C$548,A235,Transactions_View!$L$2:$L$548,B235)</f>
        <v/>
      </c>
      <c r="D235" s="2">
        <f>IFERROR(VLOOKUP(A235,Merchants!$A$2:$D$41,4,FALSE),"Merchant not found")</f>
        <v/>
      </c>
    </row>
    <row r="236">
      <c r="A236" s="2" t="n">
        <v>22</v>
      </c>
      <c r="B236" s="7" t="n">
        <v>46051</v>
      </c>
      <c r="C236" s="8">
        <f>SUMIFS(Transactions_View!$E$2:$E$548,Transactions_View!$C$2:$C$548,A236,Transactions_View!$L$2:$L$548,B236)</f>
        <v/>
      </c>
      <c r="D236" s="2">
        <f>IFERROR(VLOOKUP(A236,Merchants!$A$2:$D$41,4,FALSE),"Merchant not found")</f>
        <v/>
      </c>
    </row>
    <row r="237">
      <c r="A237" s="2" t="n">
        <v>23</v>
      </c>
      <c r="B237" s="7" t="n">
        <v>46030</v>
      </c>
      <c r="C237" s="8">
        <f>SUMIFS(Transactions_View!$E$2:$E$548,Transactions_View!$C$2:$C$548,A237,Transactions_View!$L$2:$L$548,B237)</f>
        <v/>
      </c>
      <c r="D237" s="2">
        <f>IFERROR(VLOOKUP(A237,Merchants!$A$2:$D$41,4,FALSE),"Merchant not found")</f>
        <v/>
      </c>
    </row>
    <row r="238">
      <c r="A238" s="2" t="n">
        <v>23</v>
      </c>
      <c r="B238" s="7" t="n">
        <v>46031</v>
      </c>
      <c r="C238" s="8">
        <f>SUMIFS(Transactions_View!$E$2:$E$548,Transactions_View!$C$2:$C$548,A238,Transactions_View!$L$2:$L$548,B238)</f>
        <v/>
      </c>
      <c r="D238" s="2">
        <f>IFERROR(VLOOKUP(A238,Merchants!$A$2:$D$41,4,FALSE),"Merchant not found")</f>
        <v/>
      </c>
    </row>
    <row r="239">
      <c r="A239" s="2" t="n">
        <v>23</v>
      </c>
      <c r="B239" s="7" t="n">
        <v>46034</v>
      </c>
      <c r="C239" s="8">
        <f>SUMIFS(Transactions_View!$E$2:$E$548,Transactions_View!$C$2:$C$548,A239,Transactions_View!$L$2:$L$548,B239)</f>
        <v/>
      </c>
      <c r="D239" s="2">
        <f>IFERROR(VLOOKUP(A239,Merchants!$A$2:$D$41,4,FALSE),"Merchant not found")</f>
        <v/>
      </c>
    </row>
    <row r="240">
      <c r="A240" s="2" t="n">
        <v>23</v>
      </c>
      <c r="B240" s="7" t="n">
        <v>46039</v>
      </c>
      <c r="C240" s="8">
        <f>SUMIFS(Transactions_View!$E$2:$E$548,Transactions_View!$C$2:$C$548,A240,Transactions_View!$L$2:$L$548,B240)</f>
        <v/>
      </c>
      <c r="D240" s="2">
        <f>IFERROR(VLOOKUP(A240,Merchants!$A$2:$D$41,4,FALSE),"Merchant not found")</f>
        <v/>
      </c>
    </row>
    <row r="241">
      <c r="A241" s="2" t="n">
        <v>23</v>
      </c>
      <c r="B241" s="7" t="n">
        <v>46040</v>
      </c>
      <c r="C241" s="8">
        <f>SUMIFS(Transactions_View!$E$2:$E$548,Transactions_View!$C$2:$C$548,A241,Transactions_View!$L$2:$L$548,B241)</f>
        <v/>
      </c>
      <c r="D241" s="2">
        <f>IFERROR(VLOOKUP(A241,Merchants!$A$2:$D$41,4,FALSE),"Merchant not found")</f>
        <v/>
      </c>
    </row>
    <row r="242">
      <c r="A242" s="2" t="n">
        <v>23</v>
      </c>
      <c r="B242" s="7" t="n">
        <v>46044</v>
      </c>
      <c r="C242" s="8">
        <f>SUMIFS(Transactions_View!$E$2:$E$548,Transactions_View!$C$2:$C$548,A242,Transactions_View!$L$2:$L$548,B242)</f>
        <v/>
      </c>
      <c r="D242" s="2">
        <f>IFERROR(VLOOKUP(A242,Merchants!$A$2:$D$41,4,FALSE),"Merchant not found")</f>
        <v/>
      </c>
    </row>
    <row r="243">
      <c r="A243" s="2" t="n">
        <v>23</v>
      </c>
      <c r="B243" s="7" t="n">
        <v>46045</v>
      </c>
      <c r="C243" s="8">
        <f>SUMIFS(Transactions_View!$E$2:$E$548,Transactions_View!$C$2:$C$548,A243,Transactions_View!$L$2:$L$548,B243)</f>
        <v/>
      </c>
      <c r="D243" s="2">
        <f>IFERROR(VLOOKUP(A243,Merchants!$A$2:$D$41,4,FALSE),"Merchant not found")</f>
        <v/>
      </c>
    </row>
    <row r="244">
      <c r="A244" s="2" t="n">
        <v>23</v>
      </c>
      <c r="B244" s="7" t="n">
        <v>46048</v>
      </c>
      <c r="C244" s="8">
        <f>SUMIFS(Transactions_View!$E$2:$E$548,Transactions_View!$C$2:$C$548,A244,Transactions_View!$L$2:$L$548,B244)</f>
        <v/>
      </c>
      <c r="D244" s="2">
        <f>IFERROR(VLOOKUP(A244,Merchants!$A$2:$D$41,4,FALSE),"Merchant not found")</f>
        <v/>
      </c>
    </row>
    <row r="245">
      <c r="A245" s="2" t="n">
        <v>24</v>
      </c>
      <c r="B245" s="7" t="n">
        <v>46025</v>
      </c>
      <c r="C245" s="8">
        <f>SUMIFS(Transactions_View!$E$2:$E$548,Transactions_View!$C$2:$C$548,A245,Transactions_View!$L$2:$L$548,B245)</f>
        <v/>
      </c>
      <c r="D245" s="2">
        <f>IFERROR(VLOOKUP(A245,Merchants!$A$2:$D$41,4,FALSE),"Merchant not found")</f>
        <v/>
      </c>
    </row>
    <row r="246">
      <c r="A246" s="2" t="n">
        <v>24</v>
      </c>
      <c r="B246" s="7" t="n">
        <v>46026</v>
      </c>
      <c r="C246" s="8">
        <f>SUMIFS(Transactions_View!$E$2:$E$548,Transactions_View!$C$2:$C$548,A246,Transactions_View!$L$2:$L$548,B246)</f>
        <v/>
      </c>
      <c r="D246" s="2">
        <f>IFERROR(VLOOKUP(A246,Merchants!$A$2:$D$41,4,FALSE),"Merchant not found")</f>
        <v/>
      </c>
    </row>
    <row r="247">
      <c r="A247" s="2" t="n">
        <v>24</v>
      </c>
      <c r="B247" s="7" t="n">
        <v>46029</v>
      </c>
      <c r="C247" s="8">
        <f>SUMIFS(Transactions_View!$E$2:$E$548,Transactions_View!$C$2:$C$548,A247,Transactions_View!$L$2:$L$548,B247)</f>
        <v/>
      </c>
      <c r="D247" s="2">
        <f>IFERROR(VLOOKUP(A247,Merchants!$A$2:$D$41,4,FALSE),"Merchant not found")</f>
        <v/>
      </c>
    </row>
    <row r="248">
      <c r="A248" s="2" t="n">
        <v>24</v>
      </c>
      <c r="B248" s="7" t="n">
        <v>46033</v>
      </c>
      <c r="C248" s="8">
        <f>SUMIFS(Transactions_View!$E$2:$E$548,Transactions_View!$C$2:$C$548,A248,Transactions_View!$L$2:$L$548,B248)</f>
        <v/>
      </c>
      <c r="D248" s="2">
        <f>IFERROR(VLOOKUP(A248,Merchants!$A$2:$D$41,4,FALSE),"Merchant not found")</f>
        <v/>
      </c>
    </row>
    <row r="249">
      <c r="A249" s="2" t="n">
        <v>24</v>
      </c>
      <c r="B249" s="7" t="n">
        <v>46034</v>
      </c>
      <c r="C249" s="8">
        <f>SUMIFS(Transactions_View!$E$2:$E$548,Transactions_View!$C$2:$C$548,A249,Transactions_View!$L$2:$L$548,B249)</f>
        <v/>
      </c>
      <c r="D249" s="2">
        <f>IFERROR(VLOOKUP(A249,Merchants!$A$2:$D$41,4,FALSE),"Merchant not found")</f>
        <v/>
      </c>
    </row>
    <row r="250">
      <c r="A250" s="2" t="n">
        <v>24</v>
      </c>
      <c r="B250" s="7" t="n">
        <v>46036</v>
      </c>
      <c r="C250" s="8">
        <f>SUMIFS(Transactions_View!$E$2:$E$548,Transactions_View!$C$2:$C$548,A250,Transactions_View!$L$2:$L$548,B250)</f>
        <v/>
      </c>
      <c r="D250" s="2">
        <f>IFERROR(VLOOKUP(A250,Merchants!$A$2:$D$41,4,FALSE),"Merchant not found")</f>
        <v/>
      </c>
    </row>
    <row r="251">
      <c r="A251" s="2" t="n">
        <v>24</v>
      </c>
      <c r="B251" s="7" t="n">
        <v>46042</v>
      </c>
      <c r="C251" s="8">
        <f>SUMIFS(Transactions_View!$E$2:$E$548,Transactions_View!$C$2:$C$548,A251,Transactions_View!$L$2:$L$548,B251)</f>
        <v/>
      </c>
      <c r="D251" s="2">
        <f>IFERROR(VLOOKUP(A251,Merchants!$A$2:$D$41,4,FALSE),"Merchant not found")</f>
        <v/>
      </c>
    </row>
    <row r="252">
      <c r="A252" s="2" t="n">
        <v>24</v>
      </c>
      <c r="B252" s="7" t="n">
        <v>46043</v>
      </c>
      <c r="C252" s="8">
        <f>SUMIFS(Transactions_View!$E$2:$E$548,Transactions_View!$C$2:$C$548,A252,Transactions_View!$L$2:$L$548,B252)</f>
        <v/>
      </c>
      <c r="D252" s="2">
        <f>IFERROR(VLOOKUP(A252,Merchants!$A$2:$D$41,4,FALSE),"Merchant not found")</f>
        <v/>
      </c>
    </row>
    <row r="253">
      <c r="A253" s="2" t="n">
        <v>24</v>
      </c>
      <c r="B253" s="7" t="n">
        <v>46044</v>
      </c>
      <c r="C253" s="8">
        <f>SUMIFS(Transactions_View!$E$2:$E$548,Transactions_View!$C$2:$C$548,A253,Transactions_View!$L$2:$L$548,B253)</f>
        <v/>
      </c>
      <c r="D253" s="2">
        <f>IFERROR(VLOOKUP(A253,Merchants!$A$2:$D$41,4,FALSE),"Merchant not found")</f>
        <v/>
      </c>
    </row>
    <row r="254">
      <c r="A254" s="2" t="n">
        <v>24</v>
      </c>
      <c r="B254" s="7" t="n">
        <v>46046</v>
      </c>
      <c r="C254" s="8">
        <f>SUMIFS(Transactions_View!$E$2:$E$548,Transactions_View!$C$2:$C$548,A254,Transactions_View!$L$2:$L$548,B254)</f>
        <v/>
      </c>
      <c r="D254" s="2">
        <f>IFERROR(VLOOKUP(A254,Merchants!$A$2:$D$41,4,FALSE),"Merchant not found")</f>
        <v/>
      </c>
    </row>
    <row r="255">
      <c r="A255" s="2" t="n">
        <v>24</v>
      </c>
      <c r="B255" s="7" t="n">
        <v>46048</v>
      </c>
      <c r="C255" s="8">
        <f>SUMIFS(Transactions_View!$E$2:$E$548,Transactions_View!$C$2:$C$548,A255,Transactions_View!$L$2:$L$548,B255)</f>
        <v/>
      </c>
      <c r="D255" s="2">
        <f>IFERROR(VLOOKUP(A255,Merchants!$A$2:$D$41,4,FALSE),"Merchant not found")</f>
        <v/>
      </c>
    </row>
    <row r="256">
      <c r="A256" s="2" t="n">
        <v>25</v>
      </c>
      <c r="B256" s="7" t="n">
        <v>46024</v>
      </c>
      <c r="C256" s="8">
        <f>SUMIFS(Transactions_View!$E$2:$E$548,Transactions_View!$C$2:$C$548,A256,Transactions_View!$L$2:$L$548,B256)</f>
        <v/>
      </c>
      <c r="D256" s="2">
        <f>IFERROR(VLOOKUP(A256,Merchants!$A$2:$D$41,4,FALSE),"Merchant not found")</f>
        <v/>
      </c>
    </row>
    <row r="257">
      <c r="A257" s="2" t="n">
        <v>25</v>
      </c>
      <c r="B257" s="7" t="n">
        <v>46027</v>
      </c>
      <c r="C257" s="8">
        <f>SUMIFS(Transactions_View!$E$2:$E$548,Transactions_View!$C$2:$C$548,A257,Transactions_View!$L$2:$L$548,B257)</f>
        <v/>
      </c>
      <c r="D257" s="2">
        <f>IFERROR(VLOOKUP(A257,Merchants!$A$2:$D$41,4,FALSE),"Merchant not found")</f>
        <v/>
      </c>
    </row>
    <row r="258">
      <c r="A258" s="2" t="n">
        <v>25</v>
      </c>
      <c r="B258" s="7" t="n">
        <v>46028</v>
      </c>
      <c r="C258" s="8">
        <f>SUMIFS(Transactions_View!$E$2:$E$548,Transactions_View!$C$2:$C$548,A258,Transactions_View!$L$2:$L$548,B258)</f>
        <v/>
      </c>
      <c r="D258" s="2">
        <f>IFERROR(VLOOKUP(A258,Merchants!$A$2:$D$41,4,FALSE),"Merchant not found")</f>
        <v/>
      </c>
    </row>
    <row r="259">
      <c r="A259" s="2" t="n">
        <v>25</v>
      </c>
      <c r="B259" s="7" t="n">
        <v>46033</v>
      </c>
      <c r="C259" s="8">
        <f>SUMIFS(Transactions_View!$E$2:$E$548,Transactions_View!$C$2:$C$548,A259,Transactions_View!$L$2:$L$548,B259)</f>
        <v/>
      </c>
      <c r="D259" s="2">
        <f>IFERROR(VLOOKUP(A259,Merchants!$A$2:$D$41,4,FALSE),"Merchant not found")</f>
        <v/>
      </c>
    </row>
    <row r="260">
      <c r="A260" s="2" t="n">
        <v>25</v>
      </c>
      <c r="B260" s="7" t="n">
        <v>46035</v>
      </c>
      <c r="C260" s="8">
        <f>SUMIFS(Transactions_View!$E$2:$E$548,Transactions_View!$C$2:$C$548,A260,Transactions_View!$L$2:$L$548,B260)</f>
        <v/>
      </c>
      <c r="D260" s="2">
        <f>IFERROR(VLOOKUP(A260,Merchants!$A$2:$D$41,4,FALSE),"Merchant not found")</f>
        <v/>
      </c>
    </row>
    <row r="261">
      <c r="A261" s="2" t="n">
        <v>25</v>
      </c>
      <c r="B261" s="7" t="n">
        <v>46037</v>
      </c>
      <c r="C261" s="8">
        <f>SUMIFS(Transactions_View!$E$2:$E$548,Transactions_View!$C$2:$C$548,A261,Transactions_View!$L$2:$L$548,B261)</f>
        <v/>
      </c>
      <c r="D261" s="2">
        <f>IFERROR(VLOOKUP(A261,Merchants!$A$2:$D$41,4,FALSE),"Merchant not found")</f>
        <v/>
      </c>
    </row>
    <row r="262">
      <c r="A262" s="2" t="n">
        <v>25</v>
      </c>
      <c r="B262" s="7" t="n">
        <v>46038</v>
      </c>
      <c r="C262" s="8">
        <f>SUMIFS(Transactions_View!$E$2:$E$548,Transactions_View!$C$2:$C$548,A262,Transactions_View!$L$2:$L$548,B262)</f>
        <v/>
      </c>
      <c r="D262" s="2">
        <f>IFERROR(VLOOKUP(A262,Merchants!$A$2:$D$41,4,FALSE),"Merchant not found")</f>
        <v/>
      </c>
    </row>
    <row r="263">
      <c r="A263" s="2" t="n">
        <v>25</v>
      </c>
      <c r="B263" s="7" t="n">
        <v>46041</v>
      </c>
      <c r="C263" s="8">
        <f>SUMIFS(Transactions_View!$E$2:$E$548,Transactions_View!$C$2:$C$548,A263,Transactions_View!$L$2:$L$548,B263)</f>
        <v/>
      </c>
      <c r="D263" s="2">
        <f>IFERROR(VLOOKUP(A263,Merchants!$A$2:$D$41,4,FALSE),"Merchant not found")</f>
        <v/>
      </c>
    </row>
    <row r="264">
      <c r="A264" s="2" t="n">
        <v>25</v>
      </c>
      <c r="B264" s="7" t="n">
        <v>46046</v>
      </c>
      <c r="C264" s="8">
        <f>SUMIFS(Transactions_View!$E$2:$E$548,Transactions_View!$C$2:$C$548,A264,Transactions_View!$L$2:$L$548,B264)</f>
        <v/>
      </c>
      <c r="D264" s="2">
        <f>IFERROR(VLOOKUP(A264,Merchants!$A$2:$D$41,4,FALSE),"Merchant not found")</f>
        <v/>
      </c>
    </row>
    <row r="265">
      <c r="A265" s="2" t="n">
        <v>25</v>
      </c>
      <c r="B265" s="7" t="n">
        <v>46050</v>
      </c>
      <c r="C265" s="8">
        <f>SUMIFS(Transactions_View!$E$2:$E$548,Transactions_View!$C$2:$C$548,A265,Transactions_View!$L$2:$L$548,B265)</f>
        <v/>
      </c>
      <c r="D265" s="2">
        <f>IFERROR(VLOOKUP(A265,Merchants!$A$2:$D$41,4,FALSE),"Merchant not found")</f>
        <v/>
      </c>
    </row>
    <row r="266">
      <c r="A266" s="2" t="n">
        <v>25</v>
      </c>
      <c r="B266" s="7" t="n">
        <v>46051</v>
      </c>
      <c r="C266" s="8">
        <f>SUMIFS(Transactions_View!$E$2:$E$548,Transactions_View!$C$2:$C$548,A266,Transactions_View!$L$2:$L$548,B266)</f>
        <v/>
      </c>
      <c r="D266" s="2">
        <f>IFERROR(VLOOKUP(A266,Merchants!$A$2:$D$41,4,FALSE),"Merchant not found")</f>
        <v/>
      </c>
    </row>
    <row r="267">
      <c r="A267" s="2" t="n">
        <v>26</v>
      </c>
      <c r="B267" s="7" t="n">
        <v>46024</v>
      </c>
      <c r="C267" s="8">
        <f>SUMIFS(Transactions_View!$E$2:$E$548,Transactions_View!$C$2:$C$548,A267,Transactions_View!$L$2:$L$548,B267)</f>
        <v/>
      </c>
      <c r="D267" s="2">
        <f>IFERROR(VLOOKUP(A267,Merchants!$A$2:$D$41,4,FALSE),"Merchant not found")</f>
        <v/>
      </c>
    </row>
    <row r="268">
      <c r="A268" s="2" t="n">
        <v>26</v>
      </c>
      <c r="B268" s="7" t="n">
        <v>46025</v>
      </c>
      <c r="C268" s="8">
        <f>SUMIFS(Transactions_View!$E$2:$E$548,Transactions_View!$C$2:$C$548,A268,Transactions_View!$L$2:$L$548,B268)</f>
        <v/>
      </c>
      <c r="D268" s="2">
        <f>IFERROR(VLOOKUP(A268,Merchants!$A$2:$D$41,4,FALSE),"Merchant not found")</f>
        <v/>
      </c>
    </row>
    <row r="269">
      <c r="A269" s="2" t="n">
        <v>26</v>
      </c>
      <c r="B269" s="7" t="n">
        <v>46028</v>
      </c>
      <c r="C269" s="8">
        <f>SUMIFS(Transactions_View!$E$2:$E$548,Transactions_View!$C$2:$C$548,A269,Transactions_View!$L$2:$L$548,B269)</f>
        <v/>
      </c>
      <c r="D269" s="2">
        <f>IFERROR(VLOOKUP(A269,Merchants!$A$2:$D$41,4,FALSE),"Merchant not found")</f>
        <v/>
      </c>
    </row>
    <row r="270">
      <c r="A270" s="2" t="n">
        <v>26</v>
      </c>
      <c r="B270" s="7" t="n">
        <v>46032</v>
      </c>
      <c r="C270" s="8">
        <f>SUMIFS(Transactions_View!$E$2:$E$548,Transactions_View!$C$2:$C$548,A270,Transactions_View!$L$2:$L$548,B270)</f>
        <v/>
      </c>
      <c r="D270" s="2">
        <f>IFERROR(VLOOKUP(A270,Merchants!$A$2:$D$41,4,FALSE),"Merchant not found")</f>
        <v/>
      </c>
    </row>
    <row r="271">
      <c r="A271" s="2" t="n">
        <v>26</v>
      </c>
      <c r="B271" s="7" t="n">
        <v>46034</v>
      </c>
      <c r="C271" s="8">
        <f>SUMIFS(Transactions_View!$E$2:$E$548,Transactions_View!$C$2:$C$548,A271,Transactions_View!$L$2:$L$548,B271)</f>
        <v/>
      </c>
      <c r="D271" s="2">
        <f>IFERROR(VLOOKUP(A271,Merchants!$A$2:$D$41,4,FALSE),"Merchant not found")</f>
        <v/>
      </c>
    </row>
    <row r="272">
      <c r="A272" s="2" t="n">
        <v>26</v>
      </c>
      <c r="B272" s="7" t="n">
        <v>46036</v>
      </c>
      <c r="C272" s="8">
        <f>SUMIFS(Transactions_View!$E$2:$E$548,Transactions_View!$C$2:$C$548,A272,Transactions_View!$L$2:$L$548,B272)</f>
        <v/>
      </c>
      <c r="D272" s="2">
        <f>IFERROR(VLOOKUP(A272,Merchants!$A$2:$D$41,4,FALSE),"Merchant not found")</f>
        <v/>
      </c>
    </row>
    <row r="273">
      <c r="A273" s="2" t="n">
        <v>26</v>
      </c>
      <c r="B273" s="7" t="n">
        <v>46044</v>
      </c>
      <c r="C273" s="8">
        <f>SUMIFS(Transactions_View!$E$2:$E$548,Transactions_View!$C$2:$C$548,A273,Transactions_View!$L$2:$L$548,B273)</f>
        <v/>
      </c>
      <c r="D273" s="2">
        <f>IFERROR(VLOOKUP(A273,Merchants!$A$2:$D$41,4,FALSE),"Merchant not found")</f>
        <v/>
      </c>
    </row>
    <row r="274">
      <c r="A274" s="2" t="n">
        <v>26</v>
      </c>
      <c r="B274" s="7" t="n">
        <v>46045</v>
      </c>
      <c r="C274" s="8">
        <f>SUMIFS(Transactions_View!$E$2:$E$548,Transactions_View!$C$2:$C$548,A274,Transactions_View!$L$2:$L$548,B274)</f>
        <v/>
      </c>
      <c r="D274" s="2">
        <f>IFERROR(VLOOKUP(A274,Merchants!$A$2:$D$41,4,FALSE),"Merchant not found")</f>
        <v/>
      </c>
    </row>
    <row r="275">
      <c r="A275" s="2" t="n">
        <v>26</v>
      </c>
      <c r="B275" s="7" t="n">
        <v>46050</v>
      </c>
      <c r="C275" s="8">
        <f>SUMIFS(Transactions_View!$E$2:$E$548,Transactions_View!$C$2:$C$548,A275,Transactions_View!$L$2:$L$548,B275)</f>
        <v/>
      </c>
      <c r="D275" s="2">
        <f>IFERROR(VLOOKUP(A275,Merchants!$A$2:$D$41,4,FALSE),"Merchant not found")</f>
        <v/>
      </c>
    </row>
    <row r="276">
      <c r="A276" s="2" t="n">
        <v>26</v>
      </c>
      <c r="B276" s="7" t="n">
        <v>46051</v>
      </c>
      <c r="C276" s="8">
        <f>SUMIFS(Transactions_View!$E$2:$E$548,Transactions_View!$C$2:$C$548,A276,Transactions_View!$L$2:$L$548,B276)</f>
        <v/>
      </c>
      <c r="D276" s="2">
        <f>IFERROR(VLOOKUP(A276,Merchants!$A$2:$D$41,4,FALSE),"Merchant not found")</f>
        <v/>
      </c>
    </row>
    <row r="277">
      <c r="A277" s="2" t="n">
        <v>26</v>
      </c>
      <c r="B277" s="7" t="n">
        <v>46052</v>
      </c>
      <c r="C277" s="8">
        <f>SUMIFS(Transactions_View!$E$2:$E$548,Transactions_View!$C$2:$C$548,A277,Transactions_View!$L$2:$L$548,B277)</f>
        <v/>
      </c>
      <c r="D277" s="2">
        <f>IFERROR(VLOOKUP(A277,Merchants!$A$2:$D$41,4,FALSE),"Merchant not found")</f>
        <v/>
      </c>
    </row>
    <row r="278">
      <c r="A278" s="2" t="n">
        <v>27</v>
      </c>
      <c r="B278" s="7" t="n">
        <v>46023</v>
      </c>
      <c r="C278" s="8">
        <f>SUMIFS(Transactions_View!$E$2:$E$548,Transactions_View!$C$2:$C$548,A278,Transactions_View!$L$2:$L$548,B278)</f>
        <v/>
      </c>
      <c r="D278" s="2">
        <f>IFERROR(VLOOKUP(A278,Merchants!$A$2:$D$41,4,FALSE),"Merchant not found")</f>
        <v/>
      </c>
    </row>
    <row r="279">
      <c r="A279" s="2" t="n">
        <v>27</v>
      </c>
      <c r="B279" s="7" t="n">
        <v>46026</v>
      </c>
      <c r="C279" s="8">
        <f>SUMIFS(Transactions_View!$E$2:$E$548,Transactions_View!$C$2:$C$548,A279,Transactions_View!$L$2:$L$548,B279)</f>
        <v/>
      </c>
      <c r="D279" s="2">
        <f>IFERROR(VLOOKUP(A279,Merchants!$A$2:$D$41,4,FALSE),"Merchant not found")</f>
        <v/>
      </c>
    </row>
    <row r="280">
      <c r="A280" s="2" t="n">
        <v>27</v>
      </c>
      <c r="B280" s="7" t="n">
        <v>46032</v>
      </c>
      <c r="C280" s="8">
        <f>SUMIFS(Transactions_View!$E$2:$E$548,Transactions_View!$C$2:$C$548,A280,Transactions_View!$L$2:$L$548,B280)</f>
        <v/>
      </c>
      <c r="D280" s="2">
        <f>IFERROR(VLOOKUP(A280,Merchants!$A$2:$D$41,4,FALSE),"Merchant not found")</f>
        <v/>
      </c>
    </row>
    <row r="281">
      <c r="A281" s="2" t="n">
        <v>27</v>
      </c>
      <c r="B281" s="7" t="n">
        <v>46034</v>
      </c>
      <c r="C281" s="8">
        <f>SUMIFS(Transactions_View!$E$2:$E$548,Transactions_View!$C$2:$C$548,A281,Transactions_View!$L$2:$L$548,B281)</f>
        <v/>
      </c>
      <c r="D281" s="2">
        <f>IFERROR(VLOOKUP(A281,Merchants!$A$2:$D$41,4,FALSE),"Merchant not found")</f>
        <v/>
      </c>
    </row>
    <row r="282">
      <c r="A282" s="2" t="n">
        <v>27</v>
      </c>
      <c r="B282" s="7" t="n">
        <v>46036</v>
      </c>
      <c r="C282" s="8">
        <f>SUMIFS(Transactions_View!$E$2:$E$548,Transactions_View!$C$2:$C$548,A282,Transactions_View!$L$2:$L$548,B282)</f>
        <v/>
      </c>
      <c r="D282" s="2">
        <f>IFERROR(VLOOKUP(A282,Merchants!$A$2:$D$41,4,FALSE),"Merchant not found")</f>
        <v/>
      </c>
    </row>
    <row r="283">
      <c r="A283" s="2" t="n">
        <v>27</v>
      </c>
      <c r="B283" s="7" t="n">
        <v>46037</v>
      </c>
      <c r="C283" s="8">
        <f>SUMIFS(Transactions_View!$E$2:$E$548,Transactions_View!$C$2:$C$548,A283,Transactions_View!$L$2:$L$548,B283)</f>
        <v/>
      </c>
      <c r="D283" s="2">
        <f>IFERROR(VLOOKUP(A283,Merchants!$A$2:$D$41,4,FALSE),"Merchant not found")</f>
        <v/>
      </c>
    </row>
    <row r="284">
      <c r="A284" s="2" t="n">
        <v>27</v>
      </c>
      <c r="B284" s="7" t="n">
        <v>46039</v>
      </c>
      <c r="C284" s="8">
        <f>SUMIFS(Transactions_View!$E$2:$E$548,Transactions_View!$C$2:$C$548,A284,Transactions_View!$L$2:$L$548,B284)</f>
        <v/>
      </c>
      <c r="D284" s="2">
        <f>IFERROR(VLOOKUP(A284,Merchants!$A$2:$D$41,4,FALSE),"Merchant not found")</f>
        <v/>
      </c>
    </row>
    <row r="285">
      <c r="A285" s="2" t="n">
        <v>27</v>
      </c>
      <c r="B285" s="7" t="n">
        <v>46041</v>
      </c>
      <c r="C285" s="8">
        <f>SUMIFS(Transactions_View!$E$2:$E$548,Transactions_View!$C$2:$C$548,A285,Transactions_View!$L$2:$L$548,B285)</f>
        <v/>
      </c>
      <c r="D285" s="2">
        <f>IFERROR(VLOOKUP(A285,Merchants!$A$2:$D$41,4,FALSE),"Merchant not found")</f>
        <v/>
      </c>
    </row>
    <row r="286">
      <c r="A286" s="2" t="n">
        <v>27</v>
      </c>
      <c r="B286" s="7" t="n">
        <v>46042</v>
      </c>
      <c r="C286" s="8">
        <f>SUMIFS(Transactions_View!$E$2:$E$548,Transactions_View!$C$2:$C$548,A286,Transactions_View!$L$2:$L$548,B286)</f>
        <v/>
      </c>
      <c r="D286" s="2">
        <f>IFERROR(VLOOKUP(A286,Merchants!$A$2:$D$41,4,FALSE),"Merchant not found")</f>
        <v/>
      </c>
    </row>
    <row r="287">
      <c r="A287" s="2" t="n">
        <v>27</v>
      </c>
      <c r="B287" s="7" t="n">
        <v>46043</v>
      </c>
      <c r="C287" s="8">
        <f>SUMIFS(Transactions_View!$E$2:$E$548,Transactions_View!$C$2:$C$548,A287,Transactions_View!$L$2:$L$548,B287)</f>
        <v/>
      </c>
      <c r="D287" s="2">
        <f>IFERROR(VLOOKUP(A287,Merchants!$A$2:$D$41,4,FALSE),"Merchant not found")</f>
        <v/>
      </c>
    </row>
    <row r="288">
      <c r="A288" s="2" t="n">
        <v>27</v>
      </c>
      <c r="B288" s="7" t="n">
        <v>46044</v>
      </c>
      <c r="C288" s="8">
        <f>SUMIFS(Transactions_View!$E$2:$E$548,Transactions_View!$C$2:$C$548,A288,Transactions_View!$L$2:$L$548,B288)</f>
        <v/>
      </c>
      <c r="D288" s="2">
        <f>IFERROR(VLOOKUP(A288,Merchants!$A$2:$D$41,4,FALSE),"Merchant not found")</f>
        <v/>
      </c>
    </row>
    <row r="289">
      <c r="A289" s="2" t="n">
        <v>27</v>
      </c>
      <c r="B289" s="7" t="n">
        <v>46045</v>
      </c>
      <c r="C289" s="8">
        <f>SUMIFS(Transactions_View!$E$2:$E$548,Transactions_View!$C$2:$C$548,A289,Transactions_View!$L$2:$L$548,B289)</f>
        <v/>
      </c>
      <c r="D289" s="2">
        <f>IFERROR(VLOOKUP(A289,Merchants!$A$2:$D$41,4,FALSE),"Merchant not found")</f>
        <v/>
      </c>
    </row>
    <row r="290">
      <c r="A290" s="2" t="n">
        <v>27</v>
      </c>
      <c r="B290" s="7" t="n">
        <v>46046</v>
      </c>
      <c r="C290" s="8">
        <f>SUMIFS(Transactions_View!$E$2:$E$548,Transactions_View!$C$2:$C$548,A290,Transactions_View!$L$2:$L$548,B290)</f>
        <v/>
      </c>
      <c r="D290" s="2">
        <f>IFERROR(VLOOKUP(A290,Merchants!$A$2:$D$41,4,FALSE),"Merchant not found")</f>
        <v/>
      </c>
    </row>
    <row r="291">
      <c r="A291" s="2" t="n">
        <v>28</v>
      </c>
      <c r="B291" s="7" t="n">
        <v>46030</v>
      </c>
      <c r="C291" s="8">
        <f>SUMIFS(Transactions_View!$E$2:$E$548,Transactions_View!$C$2:$C$548,A291,Transactions_View!$L$2:$L$548,B291)</f>
        <v/>
      </c>
      <c r="D291" s="2">
        <f>IFERROR(VLOOKUP(A291,Merchants!$A$2:$D$41,4,FALSE),"Merchant not found")</f>
        <v/>
      </c>
    </row>
    <row r="292">
      <c r="A292" s="2" t="n">
        <v>28</v>
      </c>
      <c r="B292" s="7" t="n">
        <v>46031</v>
      </c>
      <c r="C292" s="8">
        <f>SUMIFS(Transactions_View!$E$2:$E$548,Transactions_View!$C$2:$C$548,A292,Transactions_View!$L$2:$L$548,B292)</f>
        <v/>
      </c>
      <c r="D292" s="2">
        <f>IFERROR(VLOOKUP(A292,Merchants!$A$2:$D$41,4,FALSE),"Merchant not found")</f>
        <v/>
      </c>
    </row>
    <row r="293">
      <c r="A293" s="2" t="n">
        <v>28</v>
      </c>
      <c r="B293" s="7" t="n">
        <v>46032</v>
      </c>
      <c r="C293" s="8">
        <f>SUMIFS(Transactions_View!$E$2:$E$548,Transactions_View!$C$2:$C$548,A293,Transactions_View!$L$2:$L$548,B293)</f>
        <v/>
      </c>
      <c r="D293" s="2">
        <f>IFERROR(VLOOKUP(A293,Merchants!$A$2:$D$41,4,FALSE),"Merchant not found")</f>
        <v/>
      </c>
    </row>
    <row r="294">
      <c r="A294" s="2" t="n">
        <v>28</v>
      </c>
      <c r="B294" s="7" t="n">
        <v>46033</v>
      </c>
      <c r="C294" s="8">
        <f>SUMIFS(Transactions_View!$E$2:$E$548,Transactions_View!$C$2:$C$548,A294,Transactions_View!$L$2:$L$548,B294)</f>
        <v/>
      </c>
      <c r="D294" s="2">
        <f>IFERROR(VLOOKUP(A294,Merchants!$A$2:$D$41,4,FALSE),"Merchant not found")</f>
        <v/>
      </c>
    </row>
    <row r="295">
      <c r="A295" s="2" t="n">
        <v>28</v>
      </c>
      <c r="B295" s="7" t="n">
        <v>46036</v>
      </c>
      <c r="C295" s="8">
        <f>SUMIFS(Transactions_View!$E$2:$E$548,Transactions_View!$C$2:$C$548,A295,Transactions_View!$L$2:$L$548,B295)</f>
        <v/>
      </c>
      <c r="D295" s="2">
        <f>IFERROR(VLOOKUP(A295,Merchants!$A$2:$D$41,4,FALSE),"Merchant not found")</f>
        <v/>
      </c>
    </row>
    <row r="296">
      <c r="A296" s="2" t="n">
        <v>28</v>
      </c>
      <c r="B296" s="7" t="n">
        <v>46037</v>
      </c>
      <c r="C296" s="8">
        <f>SUMIFS(Transactions_View!$E$2:$E$548,Transactions_View!$C$2:$C$548,A296,Transactions_View!$L$2:$L$548,B296)</f>
        <v/>
      </c>
      <c r="D296" s="2">
        <f>IFERROR(VLOOKUP(A296,Merchants!$A$2:$D$41,4,FALSE),"Merchant not found")</f>
        <v/>
      </c>
    </row>
    <row r="297">
      <c r="A297" s="2" t="n">
        <v>28</v>
      </c>
      <c r="B297" s="7" t="n">
        <v>46038</v>
      </c>
      <c r="C297" s="8">
        <f>SUMIFS(Transactions_View!$E$2:$E$548,Transactions_View!$C$2:$C$548,A297,Transactions_View!$L$2:$L$548,B297)</f>
        <v/>
      </c>
      <c r="D297" s="2">
        <f>IFERROR(VLOOKUP(A297,Merchants!$A$2:$D$41,4,FALSE),"Merchant not found")</f>
        <v/>
      </c>
    </row>
    <row r="298">
      <c r="A298" s="2" t="n">
        <v>28</v>
      </c>
      <c r="B298" s="7" t="n">
        <v>46043</v>
      </c>
      <c r="C298" s="8">
        <f>SUMIFS(Transactions_View!$E$2:$E$548,Transactions_View!$C$2:$C$548,A298,Transactions_View!$L$2:$L$548,B298)</f>
        <v/>
      </c>
      <c r="D298" s="2">
        <f>IFERROR(VLOOKUP(A298,Merchants!$A$2:$D$41,4,FALSE),"Merchant not found")</f>
        <v/>
      </c>
    </row>
    <row r="299">
      <c r="A299" s="2" t="n">
        <v>28</v>
      </c>
      <c r="B299" s="7" t="n">
        <v>46044</v>
      </c>
      <c r="C299" s="8">
        <f>SUMIFS(Transactions_View!$E$2:$E$548,Transactions_View!$C$2:$C$548,A299,Transactions_View!$L$2:$L$548,B299)</f>
        <v/>
      </c>
      <c r="D299" s="2">
        <f>IFERROR(VLOOKUP(A299,Merchants!$A$2:$D$41,4,FALSE),"Merchant not found")</f>
        <v/>
      </c>
    </row>
    <row r="300">
      <c r="A300" s="2" t="n">
        <v>28</v>
      </c>
      <c r="B300" s="7" t="n">
        <v>46052</v>
      </c>
      <c r="C300" s="8">
        <f>SUMIFS(Transactions_View!$E$2:$E$548,Transactions_View!$C$2:$C$548,A300,Transactions_View!$L$2:$L$548,B300)</f>
        <v/>
      </c>
      <c r="D300" s="2">
        <f>IFERROR(VLOOKUP(A300,Merchants!$A$2:$D$41,4,FALSE),"Merchant not found")</f>
        <v/>
      </c>
    </row>
    <row r="301">
      <c r="A301" s="2" t="n">
        <v>29</v>
      </c>
      <c r="B301" s="7" t="n">
        <v>46026</v>
      </c>
      <c r="C301" s="8">
        <f>SUMIFS(Transactions_View!$E$2:$E$548,Transactions_View!$C$2:$C$548,A301,Transactions_View!$L$2:$L$548,B301)</f>
        <v/>
      </c>
      <c r="D301" s="2">
        <f>IFERROR(VLOOKUP(A301,Merchants!$A$2:$D$41,4,FALSE),"Merchant not found")</f>
        <v/>
      </c>
    </row>
    <row r="302">
      <c r="A302" s="2" t="n">
        <v>29</v>
      </c>
      <c r="B302" s="7" t="n">
        <v>46027</v>
      </c>
      <c r="C302" s="8">
        <f>SUMIFS(Transactions_View!$E$2:$E$548,Transactions_View!$C$2:$C$548,A302,Transactions_View!$L$2:$L$548,B302)</f>
        <v/>
      </c>
      <c r="D302" s="2">
        <f>IFERROR(VLOOKUP(A302,Merchants!$A$2:$D$41,4,FALSE),"Merchant not found")</f>
        <v/>
      </c>
    </row>
    <row r="303">
      <c r="A303" s="2" t="n">
        <v>29</v>
      </c>
      <c r="B303" s="7" t="n">
        <v>46030</v>
      </c>
      <c r="C303" s="8">
        <f>SUMIFS(Transactions_View!$E$2:$E$548,Transactions_View!$C$2:$C$548,A303,Transactions_View!$L$2:$L$548,B303)</f>
        <v/>
      </c>
      <c r="D303" s="2">
        <f>IFERROR(VLOOKUP(A303,Merchants!$A$2:$D$41,4,FALSE),"Merchant not found")</f>
        <v/>
      </c>
    </row>
    <row r="304">
      <c r="A304" s="2" t="n">
        <v>29</v>
      </c>
      <c r="B304" s="7" t="n">
        <v>46031</v>
      </c>
      <c r="C304" s="8">
        <f>SUMIFS(Transactions_View!$E$2:$E$548,Transactions_View!$C$2:$C$548,A304,Transactions_View!$L$2:$L$548,B304)</f>
        <v/>
      </c>
      <c r="D304" s="2">
        <f>IFERROR(VLOOKUP(A304,Merchants!$A$2:$D$41,4,FALSE),"Merchant not found")</f>
        <v/>
      </c>
    </row>
    <row r="305">
      <c r="A305" s="2" t="n">
        <v>29</v>
      </c>
      <c r="B305" s="7" t="n">
        <v>46034</v>
      </c>
      <c r="C305" s="8">
        <f>SUMIFS(Transactions_View!$E$2:$E$548,Transactions_View!$C$2:$C$548,A305,Transactions_View!$L$2:$L$548,B305)</f>
        <v/>
      </c>
      <c r="D305" s="2">
        <f>IFERROR(VLOOKUP(A305,Merchants!$A$2:$D$41,4,FALSE),"Merchant not found")</f>
        <v/>
      </c>
    </row>
    <row r="306">
      <c r="A306" s="2" t="n">
        <v>29</v>
      </c>
      <c r="B306" s="7" t="n">
        <v>46036</v>
      </c>
      <c r="C306" s="8">
        <f>SUMIFS(Transactions_View!$E$2:$E$548,Transactions_View!$C$2:$C$548,A306,Transactions_View!$L$2:$L$548,B306)</f>
        <v/>
      </c>
      <c r="D306" s="2">
        <f>IFERROR(VLOOKUP(A306,Merchants!$A$2:$D$41,4,FALSE),"Merchant not found")</f>
        <v/>
      </c>
    </row>
    <row r="307">
      <c r="A307" s="2" t="n">
        <v>29</v>
      </c>
      <c r="B307" s="7" t="n">
        <v>46037</v>
      </c>
      <c r="C307" s="8">
        <f>SUMIFS(Transactions_View!$E$2:$E$548,Transactions_View!$C$2:$C$548,A307,Transactions_View!$L$2:$L$548,B307)</f>
        <v/>
      </c>
      <c r="D307" s="2">
        <f>IFERROR(VLOOKUP(A307,Merchants!$A$2:$D$41,4,FALSE),"Merchant not found")</f>
        <v/>
      </c>
    </row>
    <row r="308">
      <c r="A308" s="2" t="n">
        <v>29</v>
      </c>
      <c r="B308" s="7" t="n">
        <v>46039</v>
      </c>
      <c r="C308" s="8">
        <f>SUMIFS(Transactions_View!$E$2:$E$548,Transactions_View!$C$2:$C$548,A308,Transactions_View!$L$2:$L$548,B308)</f>
        <v/>
      </c>
      <c r="D308" s="2">
        <f>IFERROR(VLOOKUP(A308,Merchants!$A$2:$D$41,4,FALSE),"Merchant not found")</f>
        <v/>
      </c>
    </row>
    <row r="309">
      <c r="A309" s="2" t="n">
        <v>29</v>
      </c>
      <c r="B309" s="7" t="n">
        <v>46041</v>
      </c>
      <c r="C309" s="8">
        <f>SUMIFS(Transactions_View!$E$2:$E$548,Transactions_View!$C$2:$C$548,A309,Transactions_View!$L$2:$L$548,B309)</f>
        <v/>
      </c>
      <c r="D309" s="2">
        <f>IFERROR(VLOOKUP(A309,Merchants!$A$2:$D$41,4,FALSE),"Merchant not found")</f>
        <v/>
      </c>
    </row>
    <row r="310">
      <c r="A310" s="2" t="n">
        <v>29</v>
      </c>
      <c r="B310" s="7" t="n">
        <v>46042</v>
      </c>
      <c r="C310" s="8">
        <f>SUMIFS(Transactions_View!$E$2:$E$548,Transactions_View!$C$2:$C$548,A310,Transactions_View!$L$2:$L$548,B310)</f>
        <v/>
      </c>
      <c r="D310" s="2">
        <f>IFERROR(VLOOKUP(A310,Merchants!$A$2:$D$41,4,FALSE),"Merchant not found")</f>
        <v/>
      </c>
    </row>
    <row r="311">
      <c r="A311" s="2" t="n">
        <v>29</v>
      </c>
      <c r="B311" s="7" t="n">
        <v>46047</v>
      </c>
      <c r="C311" s="8">
        <f>SUMIFS(Transactions_View!$E$2:$E$548,Transactions_View!$C$2:$C$548,A311,Transactions_View!$L$2:$L$548,B311)</f>
        <v/>
      </c>
      <c r="D311" s="2">
        <f>IFERROR(VLOOKUP(A311,Merchants!$A$2:$D$41,4,FALSE),"Merchant not found")</f>
        <v/>
      </c>
    </row>
    <row r="312">
      <c r="A312" s="2" t="n">
        <v>29</v>
      </c>
      <c r="B312" s="7" t="n">
        <v>46049</v>
      </c>
      <c r="C312" s="8">
        <f>SUMIFS(Transactions_View!$E$2:$E$548,Transactions_View!$C$2:$C$548,A312,Transactions_View!$L$2:$L$548,B312)</f>
        <v/>
      </c>
      <c r="D312" s="2">
        <f>IFERROR(VLOOKUP(A312,Merchants!$A$2:$D$41,4,FALSE),"Merchant not found")</f>
        <v/>
      </c>
    </row>
    <row r="313">
      <c r="A313" s="2" t="n">
        <v>29</v>
      </c>
      <c r="B313" s="7" t="n">
        <v>46050</v>
      </c>
      <c r="C313" s="8">
        <f>SUMIFS(Transactions_View!$E$2:$E$548,Transactions_View!$C$2:$C$548,A313,Transactions_View!$L$2:$L$548,B313)</f>
        <v/>
      </c>
      <c r="D313" s="2">
        <f>IFERROR(VLOOKUP(A313,Merchants!$A$2:$D$41,4,FALSE),"Merchant not found")</f>
        <v/>
      </c>
    </row>
    <row r="314">
      <c r="A314" s="2" t="n">
        <v>30</v>
      </c>
      <c r="B314" s="7" t="n">
        <v>46025</v>
      </c>
      <c r="C314" s="8">
        <f>SUMIFS(Transactions_View!$E$2:$E$548,Transactions_View!$C$2:$C$548,A314,Transactions_View!$L$2:$L$548,B314)</f>
        <v/>
      </c>
      <c r="D314" s="2">
        <f>IFERROR(VLOOKUP(A314,Merchants!$A$2:$D$41,4,FALSE),"Merchant not found")</f>
        <v/>
      </c>
    </row>
    <row r="315">
      <c r="A315" s="2" t="n">
        <v>30</v>
      </c>
      <c r="B315" s="7" t="n">
        <v>46030</v>
      </c>
      <c r="C315" s="8">
        <f>SUMIFS(Transactions_View!$E$2:$E$548,Transactions_View!$C$2:$C$548,A315,Transactions_View!$L$2:$L$548,B315)</f>
        <v/>
      </c>
      <c r="D315" s="2">
        <f>IFERROR(VLOOKUP(A315,Merchants!$A$2:$D$41,4,FALSE),"Merchant not found")</f>
        <v/>
      </c>
    </row>
    <row r="316">
      <c r="A316" s="2" t="n">
        <v>30</v>
      </c>
      <c r="B316" s="7" t="n">
        <v>46031</v>
      </c>
      <c r="C316" s="8">
        <f>SUMIFS(Transactions_View!$E$2:$E$548,Transactions_View!$C$2:$C$548,A316,Transactions_View!$L$2:$L$548,B316)</f>
        <v/>
      </c>
      <c r="D316" s="2">
        <f>IFERROR(VLOOKUP(A316,Merchants!$A$2:$D$41,4,FALSE),"Merchant not found")</f>
        <v/>
      </c>
    </row>
    <row r="317">
      <c r="A317" s="2" t="n">
        <v>30</v>
      </c>
      <c r="B317" s="7" t="n">
        <v>46034</v>
      </c>
      <c r="C317" s="8">
        <f>SUMIFS(Transactions_View!$E$2:$E$548,Transactions_View!$C$2:$C$548,A317,Transactions_View!$L$2:$L$548,B317)</f>
        <v/>
      </c>
      <c r="D317" s="2">
        <f>IFERROR(VLOOKUP(A317,Merchants!$A$2:$D$41,4,FALSE),"Merchant not found")</f>
        <v/>
      </c>
    </row>
    <row r="318">
      <c r="A318" s="2" t="n">
        <v>30</v>
      </c>
      <c r="B318" s="7" t="n">
        <v>46035</v>
      </c>
      <c r="C318" s="8">
        <f>SUMIFS(Transactions_View!$E$2:$E$548,Transactions_View!$C$2:$C$548,A318,Transactions_View!$L$2:$L$548,B318)</f>
        <v/>
      </c>
      <c r="D318" s="2">
        <f>IFERROR(VLOOKUP(A318,Merchants!$A$2:$D$41,4,FALSE),"Merchant not found")</f>
        <v/>
      </c>
    </row>
    <row r="319">
      <c r="A319" s="2" t="n">
        <v>30</v>
      </c>
      <c r="B319" s="7" t="n">
        <v>46036</v>
      </c>
      <c r="C319" s="8">
        <f>SUMIFS(Transactions_View!$E$2:$E$548,Transactions_View!$C$2:$C$548,A319,Transactions_View!$L$2:$L$548,B319)</f>
        <v/>
      </c>
      <c r="D319" s="2">
        <f>IFERROR(VLOOKUP(A319,Merchants!$A$2:$D$41,4,FALSE),"Merchant not found")</f>
        <v/>
      </c>
    </row>
    <row r="320">
      <c r="A320" s="2" t="n">
        <v>30</v>
      </c>
      <c r="B320" s="7" t="n">
        <v>46037</v>
      </c>
      <c r="C320" s="8">
        <f>SUMIFS(Transactions_View!$E$2:$E$548,Transactions_View!$C$2:$C$548,A320,Transactions_View!$L$2:$L$548,B320)</f>
        <v/>
      </c>
      <c r="D320" s="2">
        <f>IFERROR(VLOOKUP(A320,Merchants!$A$2:$D$41,4,FALSE),"Merchant not found")</f>
        <v/>
      </c>
    </row>
    <row r="321">
      <c r="A321" s="2" t="n">
        <v>30</v>
      </c>
      <c r="B321" s="7" t="n">
        <v>46039</v>
      </c>
      <c r="C321" s="8">
        <f>SUMIFS(Transactions_View!$E$2:$E$548,Transactions_View!$C$2:$C$548,A321,Transactions_View!$L$2:$L$548,B321)</f>
        <v/>
      </c>
      <c r="D321" s="2">
        <f>IFERROR(VLOOKUP(A321,Merchants!$A$2:$D$41,4,FALSE),"Merchant not found")</f>
        <v/>
      </c>
    </row>
    <row r="322">
      <c r="A322" s="2" t="n">
        <v>30</v>
      </c>
      <c r="B322" s="7" t="n">
        <v>46040</v>
      </c>
      <c r="C322" s="8">
        <f>SUMIFS(Transactions_View!$E$2:$E$548,Transactions_View!$C$2:$C$548,A322,Transactions_View!$L$2:$L$548,B322)</f>
        <v/>
      </c>
      <c r="D322" s="2">
        <f>IFERROR(VLOOKUP(A322,Merchants!$A$2:$D$41,4,FALSE),"Merchant not found")</f>
        <v/>
      </c>
    </row>
    <row r="323">
      <c r="A323" s="2" t="n">
        <v>30</v>
      </c>
      <c r="B323" s="7" t="n">
        <v>46048</v>
      </c>
      <c r="C323" s="8">
        <f>SUMIFS(Transactions_View!$E$2:$E$548,Transactions_View!$C$2:$C$548,A323,Transactions_View!$L$2:$L$548,B323)</f>
        <v/>
      </c>
      <c r="D323" s="2">
        <f>IFERROR(VLOOKUP(A323,Merchants!$A$2:$D$41,4,FALSE),"Merchant not found")</f>
        <v/>
      </c>
    </row>
    <row r="324">
      <c r="A324" s="2" t="n">
        <v>30</v>
      </c>
      <c r="B324" s="7" t="n">
        <v>46050</v>
      </c>
      <c r="C324" s="8">
        <f>SUMIFS(Transactions_View!$E$2:$E$548,Transactions_View!$C$2:$C$548,A324,Transactions_View!$L$2:$L$548,B324)</f>
        <v/>
      </c>
      <c r="D324" s="2">
        <f>IFERROR(VLOOKUP(A324,Merchants!$A$2:$D$41,4,FALSE),"Merchant not found")</f>
        <v/>
      </c>
    </row>
    <row r="325">
      <c r="A325" s="2" t="n">
        <v>30</v>
      </c>
      <c r="B325" s="7" t="n">
        <v>46051</v>
      </c>
      <c r="C325" s="8">
        <f>SUMIFS(Transactions_View!$E$2:$E$548,Transactions_View!$C$2:$C$548,A325,Transactions_View!$L$2:$L$548,B325)</f>
        <v/>
      </c>
      <c r="D325" s="2">
        <f>IFERROR(VLOOKUP(A325,Merchants!$A$2:$D$41,4,FALSE),"Merchant not found")</f>
        <v/>
      </c>
    </row>
    <row r="326">
      <c r="A326" s="2" t="n">
        <v>30</v>
      </c>
      <c r="B326" s="7" t="n">
        <v>46052</v>
      </c>
      <c r="C326" s="8">
        <f>SUMIFS(Transactions_View!$E$2:$E$548,Transactions_View!$C$2:$C$548,A326,Transactions_View!$L$2:$L$548,B326)</f>
        <v/>
      </c>
      <c r="D326" s="2">
        <f>IFERROR(VLOOKUP(A326,Merchants!$A$2:$D$41,4,FALSE),"Merchant not found")</f>
        <v/>
      </c>
    </row>
    <row r="327">
      <c r="A327" s="2" t="n">
        <v>31</v>
      </c>
      <c r="B327" s="7" t="n">
        <v>46027</v>
      </c>
      <c r="C327" s="8">
        <f>SUMIFS(Transactions_View!$E$2:$E$548,Transactions_View!$C$2:$C$548,A327,Transactions_View!$L$2:$L$548,B327)</f>
        <v/>
      </c>
      <c r="D327" s="2">
        <f>IFERROR(VLOOKUP(A327,Merchants!$A$2:$D$41,4,FALSE),"Merchant not found")</f>
        <v/>
      </c>
    </row>
    <row r="328">
      <c r="A328" s="2" t="n">
        <v>31</v>
      </c>
      <c r="B328" s="7" t="n">
        <v>46029</v>
      </c>
      <c r="C328" s="8">
        <f>SUMIFS(Transactions_View!$E$2:$E$548,Transactions_View!$C$2:$C$548,A328,Transactions_View!$L$2:$L$548,B328)</f>
        <v/>
      </c>
      <c r="D328" s="2">
        <f>IFERROR(VLOOKUP(A328,Merchants!$A$2:$D$41,4,FALSE),"Merchant not found")</f>
        <v/>
      </c>
    </row>
    <row r="329">
      <c r="A329" s="2" t="n">
        <v>31</v>
      </c>
      <c r="B329" s="7" t="n">
        <v>46031</v>
      </c>
      <c r="C329" s="8">
        <f>SUMIFS(Transactions_View!$E$2:$E$548,Transactions_View!$C$2:$C$548,A329,Transactions_View!$L$2:$L$548,B329)</f>
        <v/>
      </c>
      <c r="D329" s="2">
        <f>IFERROR(VLOOKUP(A329,Merchants!$A$2:$D$41,4,FALSE),"Merchant not found")</f>
        <v/>
      </c>
    </row>
    <row r="330">
      <c r="A330" s="2" t="n">
        <v>31</v>
      </c>
      <c r="B330" s="7" t="n">
        <v>46032</v>
      </c>
      <c r="C330" s="8">
        <f>SUMIFS(Transactions_View!$E$2:$E$548,Transactions_View!$C$2:$C$548,A330,Transactions_View!$L$2:$L$548,B330)</f>
        <v/>
      </c>
      <c r="D330" s="2">
        <f>IFERROR(VLOOKUP(A330,Merchants!$A$2:$D$41,4,FALSE),"Merchant not found")</f>
        <v/>
      </c>
    </row>
    <row r="331">
      <c r="A331" s="2" t="n">
        <v>31</v>
      </c>
      <c r="B331" s="7" t="n">
        <v>46034</v>
      </c>
      <c r="C331" s="8">
        <f>SUMIFS(Transactions_View!$E$2:$E$548,Transactions_View!$C$2:$C$548,A331,Transactions_View!$L$2:$L$548,B331)</f>
        <v/>
      </c>
      <c r="D331" s="2">
        <f>IFERROR(VLOOKUP(A331,Merchants!$A$2:$D$41,4,FALSE),"Merchant not found")</f>
        <v/>
      </c>
    </row>
    <row r="332">
      <c r="A332" s="2" t="n">
        <v>31</v>
      </c>
      <c r="B332" s="7" t="n">
        <v>46035</v>
      </c>
      <c r="C332" s="8">
        <f>SUMIFS(Transactions_View!$E$2:$E$548,Transactions_View!$C$2:$C$548,A332,Transactions_View!$L$2:$L$548,B332)</f>
        <v/>
      </c>
      <c r="D332" s="2">
        <f>IFERROR(VLOOKUP(A332,Merchants!$A$2:$D$41,4,FALSE),"Merchant not found")</f>
        <v/>
      </c>
    </row>
    <row r="333">
      <c r="A333" s="2" t="n">
        <v>31</v>
      </c>
      <c r="B333" s="7" t="n">
        <v>46036</v>
      </c>
      <c r="C333" s="8">
        <f>SUMIFS(Transactions_View!$E$2:$E$548,Transactions_View!$C$2:$C$548,A333,Transactions_View!$L$2:$L$548,B333)</f>
        <v/>
      </c>
      <c r="D333" s="2">
        <f>IFERROR(VLOOKUP(A333,Merchants!$A$2:$D$41,4,FALSE),"Merchant not found")</f>
        <v/>
      </c>
    </row>
    <row r="334">
      <c r="A334" s="2" t="n">
        <v>31</v>
      </c>
      <c r="B334" s="7" t="n">
        <v>46037</v>
      </c>
      <c r="C334" s="8">
        <f>SUMIFS(Transactions_View!$E$2:$E$548,Transactions_View!$C$2:$C$548,A334,Transactions_View!$L$2:$L$548,B334)</f>
        <v/>
      </c>
      <c r="D334" s="2">
        <f>IFERROR(VLOOKUP(A334,Merchants!$A$2:$D$41,4,FALSE),"Merchant not found")</f>
        <v/>
      </c>
    </row>
    <row r="335">
      <c r="A335" s="2" t="n">
        <v>31</v>
      </c>
      <c r="B335" s="7" t="n">
        <v>46038</v>
      </c>
      <c r="C335" s="8">
        <f>SUMIFS(Transactions_View!$E$2:$E$548,Transactions_View!$C$2:$C$548,A335,Transactions_View!$L$2:$L$548,B335)</f>
        <v/>
      </c>
      <c r="D335" s="2">
        <f>IFERROR(VLOOKUP(A335,Merchants!$A$2:$D$41,4,FALSE),"Merchant not found")</f>
        <v/>
      </c>
    </row>
    <row r="336">
      <c r="A336" s="2" t="n">
        <v>31</v>
      </c>
      <c r="B336" s="7" t="n">
        <v>46040</v>
      </c>
      <c r="C336" s="8">
        <f>SUMIFS(Transactions_View!$E$2:$E$548,Transactions_View!$C$2:$C$548,A336,Transactions_View!$L$2:$L$548,B336)</f>
        <v/>
      </c>
      <c r="D336" s="2">
        <f>IFERROR(VLOOKUP(A336,Merchants!$A$2:$D$41,4,FALSE),"Merchant not found")</f>
        <v/>
      </c>
    </row>
    <row r="337">
      <c r="A337" s="2" t="n">
        <v>31</v>
      </c>
      <c r="B337" s="7" t="n">
        <v>46043</v>
      </c>
      <c r="C337" s="8">
        <f>SUMIFS(Transactions_View!$E$2:$E$548,Transactions_View!$C$2:$C$548,A337,Transactions_View!$L$2:$L$548,B337)</f>
        <v/>
      </c>
      <c r="D337" s="2">
        <f>IFERROR(VLOOKUP(A337,Merchants!$A$2:$D$41,4,FALSE),"Merchant not found")</f>
        <v/>
      </c>
    </row>
    <row r="338">
      <c r="A338" s="2" t="n">
        <v>31</v>
      </c>
      <c r="B338" s="7" t="n">
        <v>46044</v>
      </c>
      <c r="C338" s="8">
        <f>SUMIFS(Transactions_View!$E$2:$E$548,Transactions_View!$C$2:$C$548,A338,Transactions_View!$L$2:$L$548,B338)</f>
        <v/>
      </c>
      <c r="D338" s="2">
        <f>IFERROR(VLOOKUP(A338,Merchants!$A$2:$D$41,4,FALSE),"Merchant not found")</f>
        <v/>
      </c>
    </row>
    <row r="339">
      <c r="A339" s="2" t="n">
        <v>31</v>
      </c>
      <c r="B339" s="7" t="n">
        <v>46050</v>
      </c>
      <c r="C339" s="8">
        <f>SUMIFS(Transactions_View!$E$2:$E$548,Transactions_View!$C$2:$C$548,A339,Transactions_View!$L$2:$L$548,B339)</f>
        <v/>
      </c>
      <c r="D339" s="2">
        <f>IFERROR(VLOOKUP(A339,Merchants!$A$2:$D$41,4,FALSE),"Merchant not found")</f>
        <v/>
      </c>
    </row>
    <row r="340">
      <c r="A340" s="2" t="n">
        <v>31</v>
      </c>
      <c r="B340" s="7" t="n">
        <v>46051</v>
      </c>
      <c r="C340" s="8">
        <f>SUMIFS(Transactions_View!$E$2:$E$548,Transactions_View!$C$2:$C$548,A340,Transactions_View!$L$2:$L$548,B340)</f>
        <v/>
      </c>
      <c r="D340" s="2">
        <f>IFERROR(VLOOKUP(A340,Merchants!$A$2:$D$41,4,FALSE),"Merchant not found")</f>
        <v/>
      </c>
    </row>
    <row r="341">
      <c r="A341" s="2" t="n">
        <v>32</v>
      </c>
      <c r="B341" s="7" t="n">
        <v>46025</v>
      </c>
      <c r="C341" s="8">
        <f>SUMIFS(Transactions_View!$E$2:$E$548,Transactions_View!$C$2:$C$548,A341,Transactions_View!$L$2:$L$548,B341)</f>
        <v/>
      </c>
      <c r="D341" s="2">
        <f>IFERROR(VLOOKUP(A341,Merchants!$A$2:$D$41,4,FALSE),"Merchant not found")</f>
        <v/>
      </c>
    </row>
    <row r="342">
      <c r="A342" s="2" t="n">
        <v>32</v>
      </c>
      <c r="B342" s="7" t="n">
        <v>46026</v>
      </c>
      <c r="C342" s="8">
        <f>SUMIFS(Transactions_View!$E$2:$E$548,Transactions_View!$C$2:$C$548,A342,Transactions_View!$L$2:$L$548,B342)</f>
        <v/>
      </c>
      <c r="D342" s="2">
        <f>IFERROR(VLOOKUP(A342,Merchants!$A$2:$D$41,4,FALSE),"Merchant not found")</f>
        <v/>
      </c>
    </row>
    <row r="343">
      <c r="A343" s="2" t="n">
        <v>32</v>
      </c>
      <c r="B343" s="7" t="n">
        <v>46028</v>
      </c>
      <c r="C343" s="8">
        <f>SUMIFS(Transactions_View!$E$2:$E$548,Transactions_View!$C$2:$C$548,A343,Transactions_View!$L$2:$L$548,B343)</f>
        <v/>
      </c>
      <c r="D343" s="2">
        <f>IFERROR(VLOOKUP(A343,Merchants!$A$2:$D$41,4,FALSE),"Merchant not found")</f>
        <v/>
      </c>
    </row>
    <row r="344">
      <c r="A344" s="2" t="n">
        <v>32</v>
      </c>
      <c r="B344" s="7" t="n">
        <v>46031</v>
      </c>
      <c r="C344" s="8">
        <f>SUMIFS(Transactions_View!$E$2:$E$548,Transactions_View!$C$2:$C$548,A344,Transactions_View!$L$2:$L$548,B344)</f>
        <v/>
      </c>
      <c r="D344" s="2">
        <f>IFERROR(VLOOKUP(A344,Merchants!$A$2:$D$41,4,FALSE),"Merchant not found")</f>
        <v/>
      </c>
    </row>
    <row r="345">
      <c r="A345" s="2" t="n">
        <v>32</v>
      </c>
      <c r="B345" s="7" t="n">
        <v>46035</v>
      </c>
      <c r="C345" s="8">
        <f>SUMIFS(Transactions_View!$E$2:$E$548,Transactions_View!$C$2:$C$548,A345,Transactions_View!$L$2:$L$548,B345)</f>
        <v/>
      </c>
      <c r="D345" s="2">
        <f>IFERROR(VLOOKUP(A345,Merchants!$A$2:$D$41,4,FALSE),"Merchant not found")</f>
        <v/>
      </c>
    </row>
    <row r="346">
      <c r="A346" s="2" t="n">
        <v>32</v>
      </c>
      <c r="B346" s="7" t="n">
        <v>46037</v>
      </c>
      <c r="C346" s="8">
        <f>SUMIFS(Transactions_View!$E$2:$E$548,Transactions_View!$C$2:$C$548,A346,Transactions_View!$L$2:$L$548,B346)</f>
        <v/>
      </c>
      <c r="D346" s="2">
        <f>IFERROR(VLOOKUP(A346,Merchants!$A$2:$D$41,4,FALSE),"Merchant not found")</f>
        <v/>
      </c>
    </row>
    <row r="347">
      <c r="A347" s="2" t="n">
        <v>32</v>
      </c>
      <c r="B347" s="7" t="n">
        <v>46040</v>
      </c>
      <c r="C347" s="8">
        <f>SUMIFS(Transactions_View!$E$2:$E$548,Transactions_View!$C$2:$C$548,A347,Transactions_View!$L$2:$L$548,B347)</f>
        <v/>
      </c>
      <c r="D347" s="2">
        <f>IFERROR(VLOOKUP(A347,Merchants!$A$2:$D$41,4,FALSE),"Merchant not found")</f>
        <v/>
      </c>
    </row>
    <row r="348">
      <c r="A348" s="2" t="n">
        <v>32</v>
      </c>
      <c r="B348" s="7" t="n">
        <v>46043</v>
      </c>
      <c r="C348" s="8">
        <f>SUMIFS(Transactions_View!$E$2:$E$548,Transactions_View!$C$2:$C$548,A348,Transactions_View!$L$2:$L$548,B348)</f>
        <v/>
      </c>
      <c r="D348" s="2">
        <f>IFERROR(VLOOKUP(A348,Merchants!$A$2:$D$41,4,FALSE),"Merchant not found")</f>
        <v/>
      </c>
    </row>
    <row r="349">
      <c r="A349" s="2" t="n">
        <v>32</v>
      </c>
      <c r="B349" s="7" t="n">
        <v>46046</v>
      </c>
      <c r="C349" s="8">
        <f>SUMIFS(Transactions_View!$E$2:$E$548,Transactions_View!$C$2:$C$548,A349,Transactions_View!$L$2:$L$548,B349)</f>
        <v/>
      </c>
      <c r="D349" s="2">
        <f>IFERROR(VLOOKUP(A349,Merchants!$A$2:$D$41,4,FALSE),"Merchant not found")</f>
        <v/>
      </c>
    </row>
    <row r="350">
      <c r="A350" s="2" t="n">
        <v>32</v>
      </c>
      <c r="B350" s="7" t="n">
        <v>46047</v>
      </c>
      <c r="C350" s="8">
        <f>SUMIFS(Transactions_View!$E$2:$E$548,Transactions_View!$C$2:$C$548,A350,Transactions_View!$L$2:$L$548,B350)</f>
        <v/>
      </c>
      <c r="D350" s="2">
        <f>IFERROR(VLOOKUP(A350,Merchants!$A$2:$D$41,4,FALSE),"Merchant not found")</f>
        <v/>
      </c>
    </row>
    <row r="351">
      <c r="A351" s="2" t="n">
        <v>32</v>
      </c>
      <c r="B351" s="7" t="n">
        <v>46049</v>
      </c>
      <c r="C351" s="8">
        <f>SUMIFS(Transactions_View!$E$2:$E$548,Transactions_View!$C$2:$C$548,A351,Transactions_View!$L$2:$L$548,B351)</f>
        <v/>
      </c>
      <c r="D351" s="2">
        <f>IFERROR(VLOOKUP(A351,Merchants!$A$2:$D$41,4,FALSE),"Merchant not found")</f>
        <v/>
      </c>
    </row>
    <row r="352">
      <c r="A352" s="2" t="n">
        <v>32</v>
      </c>
      <c r="B352" s="7" t="n">
        <v>46050</v>
      </c>
      <c r="C352" s="8">
        <f>SUMIFS(Transactions_View!$E$2:$E$548,Transactions_View!$C$2:$C$548,A352,Transactions_View!$L$2:$L$548,B352)</f>
        <v/>
      </c>
      <c r="D352" s="2">
        <f>IFERROR(VLOOKUP(A352,Merchants!$A$2:$D$41,4,FALSE),"Merchant not found")</f>
        <v/>
      </c>
    </row>
    <row r="353">
      <c r="A353" s="2" t="n">
        <v>33</v>
      </c>
      <c r="B353" s="7" t="n">
        <v>46025</v>
      </c>
      <c r="C353" s="8">
        <f>SUMIFS(Transactions_View!$E$2:$E$548,Transactions_View!$C$2:$C$548,A353,Transactions_View!$L$2:$L$548,B353)</f>
        <v/>
      </c>
      <c r="D353" s="2">
        <f>IFERROR(VLOOKUP(A353,Merchants!$A$2:$D$41,4,FALSE),"Merchant not found")</f>
        <v/>
      </c>
    </row>
    <row r="354">
      <c r="A354" s="2" t="n">
        <v>33</v>
      </c>
      <c r="B354" s="7" t="n">
        <v>46026</v>
      </c>
      <c r="C354" s="8">
        <f>SUMIFS(Transactions_View!$E$2:$E$548,Transactions_View!$C$2:$C$548,A354,Transactions_View!$L$2:$L$548,B354)</f>
        <v/>
      </c>
      <c r="D354" s="2">
        <f>IFERROR(VLOOKUP(A354,Merchants!$A$2:$D$41,4,FALSE),"Merchant not found")</f>
        <v/>
      </c>
    </row>
    <row r="355">
      <c r="A355" s="2" t="n">
        <v>33</v>
      </c>
      <c r="B355" s="7" t="n">
        <v>46034</v>
      </c>
      <c r="C355" s="8">
        <f>SUMIFS(Transactions_View!$E$2:$E$548,Transactions_View!$C$2:$C$548,A355,Transactions_View!$L$2:$L$548,B355)</f>
        <v/>
      </c>
      <c r="D355" s="2">
        <f>IFERROR(VLOOKUP(A355,Merchants!$A$2:$D$41,4,FALSE),"Merchant not found")</f>
        <v/>
      </c>
    </row>
    <row r="356">
      <c r="A356" s="2" t="n">
        <v>33</v>
      </c>
      <c r="B356" s="7" t="n">
        <v>46037</v>
      </c>
      <c r="C356" s="8">
        <f>SUMIFS(Transactions_View!$E$2:$E$548,Transactions_View!$C$2:$C$548,A356,Transactions_View!$L$2:$L$548,B356)</f>
        <v/>
      </c>
      <c r="D356" s="2">
        <f>IFERROR(VLOOKUP(A356,Merchants!$A$2:$D$41,4,FALSE),"Merchant not found")</f>
        <v/>
      </c>
    </row>
    <row r="357">
      <c r="A357" s="2" t="n">
        <v>33</v>
      </c>
      <c r="B357" s="7" t="n">
        <v>46042</v>
      </c>
      <c r="C357" s="8">
        <f>SUMIFS(Transactions_View!$E$2:$E$548,Transactions_View!$C$2:$C$548,A357,Transactions_View!$L$2:$L$548,B357)</f>
        <v/>
      </c>
      <c r="D357" s="2">
        <f>IFERROR(VLOOKUP(A357,Merchants!$A$2:$D$41,4,FALSE),"Merchant not found")</f>
        <v/>
      </c>
    </row>
    <row r="358">
      <c r="A358" s="2" t="n">
        <v>33</v>
      </c>
      <c r="B358" s="7" t="n">
        <v>46043</v>
      </c>
      <c r="C358" s="8">
        <f>SUMIFS(Transactions_View!$E$2:$E$548,Transactions_View!$C$2:$C$548,A358,Transactions_View!$L$2:$L$548,B358)</f>
        <v/>
      </c>
      <c r="D358" s="2">
        <f>IFERROR(VLOOKUP(A358,Merchants!$A$2:$D$41,4,FALSE),"Merchant not found")</f>
        <v/>
      </c>
    </row>
    <row r="359">
      <c r="A359" s="2" t="n">
        <v>33</v>
      </c>
      <c r="B359" s="7" t="n">
        <v>46044</v>
      </c>
      <c r="C359" s="8">
        <f>SUMIFS(Transactions_View!$E$2:$E$548,Transactions_View!$C$2:$C$548,A359,Transactions_View!$L$2:$L$548,B359)</f>
        <v/>
      </c>
      <c r="D359" s="2">
        <f>IFERROR(VLOOKUP(A359,Merchants!$A$2:$D$41,4,FALSE),"Merchant not found")</f>
        <v/>
      </c>
    </row>
    <row r="360">
      <c r="A360" s="2" t="n">
        <v>33</v>
      </c>
      <c r="B360" s="7" t="n">
        <v>46045</v>
      </c>
      <c r="C360" s="8">
        <f>SUMIFS(Transactions_View!$E$2:$E$548,Transactions_View!$C$2:$C$548,A360,Transactions_View!$L$2:$L$548,B360)</f>
        <v/>
      </c>
      <c r="D360" s="2">
        <f>IFERROR(VLOOKUP(A360,Merchants!$A$2:$D$41,4,FALSE),"Merchant not found")</f>
        <v/>
      </c>
    </row>
    <row r="361">
      <c r="A361" s="2" t="n">
        <v>33</v>
      </c>
      <c r="B361" s="7" t="n">
        <v>46046</v>
      </c>
      <c r="C361" s="8">
        <f>SUMIFS(Transactions_View!$E$2:$E$548,Transactions_View!$C$2:$C$548,A361,Transactions_View!$L$2:$L$548,B361)</f>
        <v/>
      </c>
      <c r="D361" s="2">
        <f>IFERROR(VLOOKUP(A361,Merchants!$A$2:$D$41,4,FALSE),"Merchant not found")</f>
        <v/>
      </c>
    </row>
    <row r="362">
      <c r="A362" s="2" t="n">
        <v>33</v>
      </c>
      <c r="B362" s="7" t="n">
        <v>46047</v>
      </c>
      <c r="C362" s="8">
        <f>SUMIFS(Transactions_View!$E$2:$E$548,Transactions_View!$C$2:$C$548,A362,Transactions_View!$L$2:$L$548,B362)</f>
        <v/>
      </c>
      <c r="D362" s="2">
        <f>IFERROR(VLOOKUP(A362,Merchants!$A$2:$D$41,4,FALSE),"Merchant not found")</f>
        <v/>
      </c>
    </row>
    <row r="363">
      <c r="A363" s="2" t="n">
        <v>34</v>
      </c>
      <c r="B363" s="7" t="n">
        <v>46024</v>
      </c>
      <c r="C363" s="8">
        <f>SUMIFS(Transactions_View!$E$2:$E$548,Transactions_View!$C$2:$C$548,A363,Transactions_View!$L$2:$L$548,B363)</f>
        <v/>
      </c>
      <c r="D363" s="2">
        <f>IFERROR(VLOOKUP(A363,Merchants!$A$2:$D$41,4,FALSE),"Merchant not found")</f>
        <v/>
      </c>
    </row>
    <row r="364">
      <c r="A364" s="2" t="n">
        <v>34</v>
      </c>
      <c r="B364" s="7" t="n">
        <v>46027</v>
      </c>
      <c r="C364" s="8">
        <f>SUMIFS(Transactions_View!$E$2:$E$548,Transactions_View!$C$2:$C$548,A364,Transactions_View!$L$2:$L$548,B364)</f>
        <v/>
      </c>
      <c r="D364" s="2">
        <f>IFERROR(VLOOKUP(A364,Merchants!$A$2:$D$41,4,FALSE),"Merchant not found")</f>
        <v/>
      </c>
    </row>
    <row r="365">
      <c r="A365" s="2" t="n">
        <v>34</v>
      </c>
      <c r="B365" s="7" t="n">
        <v>46031</v>
      </c>
      <c r="C365" s="8">
        <f>SUMIFS(Transactions_View!$E$2:$E$548,Transactions_View!$C$2:$C$548,A365,Transactions_View!$L$2:$L$548,B365)</f>
        <v/>
      </c>
      <c r="D365" s="2">
        <f>IFERROR(VLOOKUP(A365,Merchants!$A$2:$D$41,4,FALSE),"Merchant not found")</f>
        <v/>
      </c>
    </row>
    <row r="366">
      <c r="A366" s="2" t="n">
        <v>34</v>
      </c>
      <c r="B366" s="7" t="n">
        <v>46032</v>
      </c>
      <c r="C366" s="8">
        <f>SUMIFS(Transactions_View!$E$2:$E$548,Transactions_View!$C$2:$C$548,A366,Transactions_View!$L$2:$L$548,B366)</f>
        <v/>
      </c>
      <c r="D366" s="2">
        <f>IFERROR(VLOOKUP(A366,Merchants!$A$2:$D$41,4,FALSE),"Merchant not found")</f>
        <v/>
      </c>
    </row>
    <row r="367">
      <c r="A367" s="2" t="n">
        <v>34</v>
      </c>
      <c r="B367" s="7" t="n">
        <v>46034</v>
      </c>
      <c r="C367" s="8">
        <f>SUMIFS(Transactions_View!$E$2:$E$548,Transactions_View!$C$2:$C$548,A367,Transactions_View!$L$2:$L$548,B367)</f>
        <v/>
      </c>
      <c r="D367" s="2">
        <f>IFERROR(VLOOKUP(A367,Merchants!$A$2:$D$41,4,FALSE),"Merchant not found")</f>
        <v/>
      </c>
    </row>
    <row r="368">
      <c r="A368" s="2" t="n">
        <v>34</v>
      </c>
      <c r="B368" s="7" t="n">
        <v>46039</v>
      </c>
      <c r="C368" s="8">
        <f>SUMIFS(Transactions_View!$E$2:$E$548,Transactions_View!$C$2:$C$548,A368,Transactions_View!$L$2:$L$548,B368)</f>
        <v/>
      </c>
      <c r="D368" s="2">
        <f>IFERROR(VLOOKUP(A368,Merchants!$A$2:$D$41,4,FALSE),"Merchant not found")</f>
        <v/>
      </c>
    </row>
    <row r="369">
      <c r="A369" s="2" t="n">
        <v>34</v>
      </c>
      <c r="B369" s="7" t="n">
        <v>46040</v>
      </c>
      <c r="C369" s="8">
        <f>SUMIFS(Transactions_View!$E$2:$E$548,Transactions_View!$C$2:$C$548,A369,Transactions_View!$L$2:$L$548,B369)</f>
        <v/>
      </c>
      <c r="D369" s="2">
        <f>IFERROR(VLOOKUP(A369,Merchants!$A$2:$D$41,4,FALSE),"Merchant not found")</f>
        <v/>
      </c>
    </row>
    <row r="370">
      <c r="A370" s="2" t="n">
        <v>34</v>
      </c>
      <c r="B370" s="7" t="n">
        <v>46041</v>
      </c>
      <c r="C370" s="8">
        <f>SUMIFS(Transactions_View!$E$2:$E$548,Transactions_View!$C$2:$C$548,A370,Transactions_View!$L$2:$L$548,B370)</f>
        <v/>
      </c>
      <c r="D370" s="2">
        <f>IFERROR(VLOOKUP(A370,Merchants!$A$2:$D$41,4,FALSE),"Merchant not found")</f>
        <v/>
      </c>
    </row>
    <row r="371">
      <c r="A371" s="2" t="n">
        <v>34</v>
      </c>
      <c r="B371" s="7" t="n">
        <v>46043</v>
      </c>
      <c r="C371" s="8">
        <f>SUMIFS(Transactions_View!$E$2:$E$548,Transactions_View!$C$2:$C$548,A371,Transactions_View!$L$2:$L$548,B371)</f>
        <v/>
      </c>
      <c r="D371" s="2">
        <f>IFERROR(VLOOKUP(A371,Merchants!$A$2:$D$41,4,FALSE),"Merchant not found")</f>
        <v/>
      </c>
    </row>
    <row r="372">
      <c r="A372" s="2" t="n">
        <v>34</v>
      </c>
      <c r="B372" s="7" t="n">
        <v>46044</v>
      </c>
      <c r="C372" s="8">
        <f>SUMIFS(Transactions_View!$E$2:$E$548,Transactions_View!$C$2:$C$548,A372,Transactions_View!$L$2:$L$548,B372)</f>
        <v/>
      </c>
      <c r="D372" s="2">
        <f>IFERROR(VLOOKUP(A372,Merchants!$A$2:$D$41,4,FALSE),"Merchant not found")</f>
        <v/>
      </c>
    </row>
    <row r="373">
      <c r="A373" s="2" t="n">
        <v>34</v>
      </c>
      <c r="B373" s="7" t="n">
        <v>46045</v>
      </c>
      <c r="C373" s="8">
        <f>SUMIFS(Transactions_View!$E$2:$E$548,Transactions_View!$C$2:$C$548,A373,Transactions_View!$L$2:$L$548,B373)</f>
        <v/>
      </c>
      <c r="D373" s="2">
        <f>IFERROR(VLOOKUP(A373,Merchants!$A$2:$D$41,4,FALSE),"Merchant not found")</f>
        <v/>
      </c>
    </row>
    <row r="374">
      <c r="A374" s="2" t="n">
        <v>34</v>
      </c>
      <c r="B374" s="7" t="n">
        <v>46046</v>
      </c>
      <c r="C374" s="8">
        <f>SUMIFS(Transactions_View!$E$2:$E$548,Transactions_View!$C$2:$C$548,A374,Transactions_View!$L$2:$L$548,B374)</f>
        <v/>
      </c>
      <c r="D374" s="2">
        <f>IFERROR(VLOOKUP(A374,Merchants!$A$2:$D$41,4,FALSE),"Merchant not found")</f>
        <v/>
      </c>
    </row>
    <row r="375">
      <c r="A375" s="2" t="n">
        <v>35</v>
      </c>
      <c r="B375" s="7" t="n">
        <v>46023</v>
      </c>
      <c r="C375" s="8">
        <f>SUMIFS(Transactions_View!$E$2:$E$548,Transactions_View!$C$2:$C$548,A375,Transactions_View!$L$2:$L$548,B375)</f>
        <v/>
      </c>
      <c r="D375" s="2">
        <f>IFERROR(VLOOKUP(A375,Merchants!$A$2:$D$41,4,FALSE),"Merchant not found")</f>
        <v/>
      </c>
    </row>
    <row r="376">
      <c r="A376" s="2" t="n">
        <v>35</v>
      </c>
      <c r="B376" s="7" t="n">
        <v>46024</v>
      </c>
      <c r="C376" s="8">
        <f>SUMIFS(Transactions_View!$E$2:$E$548,Transactions_View!$C$2:$C$548,A376,Transactions_View!$L$2:$L$548,B376)</f>
        <v/>
      </c>
      <c r="D376" s="2">
        <f>IFERROR(VLOOKUP(A376,Merchants!$A$2:$D$41,4,FALSE),"Merchant not found")</f>
        <v/>
      </c>
    </row>
    <row r="377">
      <c r="A377" s="2" t="n">
        <v>35</v>
      </c>
      <c r="B377" s="7" t="n">
        <v>46033</v>
      </c>
      <c r="C377" s="8">
        <f>SUMIFS(Transactions_View!$E$2:$E$548,Transactions_View!$C$2:$C$548,A377,Transactions_View!$L$2:$L$548,B377)</f>
        <v/>
      </c>
      <c r="D377" s="2">
        <f>IFERROR(VLOOKUP(A377,Merchants!$A$2:$D$41,4,FALSE),"Merchant not found")</f>
        <v/>
      </c>
    </row>
    <row r="378">
      <c r="A378" s="2" t="n">
        <v>35</v>
      </c>
      <c r="B378" s="7" t="n">
        <v>46034</v>
      </c>
      <c r="C378" s="8">
        <f>SUMIFS(Transactions_View!$E$2:$E$548,Transactions_View!$C$2:$C$548,A378,Transactions_View!$L$2:$L$548,B378)</f>
        <v/>
      </c>
      <c r="D378" s="2">
        <f>IFERROR(VLOOKUP(A378,Merchants!$A$2:$D$41,4,FALSE),"Merchant not found")</f>
        <v/>
      </c>
    </row>
    <row r="379">
      <c r="A379" s="2" t="n">
        <v>35</v>
      </c>
      <c r="B379" s="7" t="n">
        <v>46035</v>
      </c>
      <c r="C379" s="8">
        <f>SUMIFS(Transactions_View!$E$2:$E$548,Transactions_View!$C$2:$C$548,A379,Transactions_View!$L$2:$L$548,B379)</f>
        <v/>
      </c>
      <c r="D379" s="2">
        <f>IFERROR(VLOOKUP(A379,Merchants!$A$2:$D$41,4,FALSE),"Merchant not found")</f>
        <v/>
      </c>
    </row>
    <row r="380">
      <c r="A380" s="2" t="n">
        <v>35</v>
      </c>
      <c r="B380" s="7" t="n">
        <v>46043</v>
      </c>
      <c r="C380" s="8">
        <f>SUMIFS(Transactions_View!$E$2:$E$548,Transactions_View!$C$2:$C$548,A380,Transactions_View!$L$2:$L$548,B380)</f>
        <v/>
      </c>
      <c r="D380" s="2">
        <f>IFERROR(VLOOKUP(A380,Merchants!$A$2:$D$41,4,FALSE),"Merchant not found")</f>
        <v/>
      </c>
    </row>
    <row r="381">
      <c r="A381" s="2" t="n">
        <v>35</v>
      </c>
      <c r="B381" s="7" t="n">
        <v>46044</v>
      </c>
      <c r="C381" s="8">
        <f>SUMIFS(Transactions_View!$E$2:$E$548,Transactions_View!$C$2:$C$548,A381,Transactions_View!$L$2:$L$548,B381)</f>
        <v/>
      </c>
      <c r="D381" s="2">
        <f>IFERROR(VLOOKUP(A381,Merchants!$A$2:$D$41,4,FALSE),"Merchant not found")</f>
        <v/>
      </c>
    </row>
    <row r="382">
      <c r="A382" s="2" t="n">
        <v>35</v>
      </c>
      <c r="B382" s="7" t="n">
        <v>46046</v>
      </c>
      <c r="C382" s="8">
        <f>SUMIFS(Transactions_View!$E$2:$E$548,Transactions_View!$C$2:$C$548,A382,Transactions_View!$L$2:$L$548,B382)</f>
        <v/>
      </c>
      <c r="D382" s="2">
        <f>IFERROR(VLOOKUP(A382,Merchants!$A$2:$D$41,4,FALSE),"Merchant not found")</f>
        <v/>
      </c>
    </row>
    <row r="383">
      <c r="A383" s="2" t="n">
        <v>35</v>
      </c>
      <c r="B383" s="7" t="n">
        <v>46048</v>
      </c>
      <c r="C383" s="8">
        <f>SUMIFS(Transactions_View!$E$2:$E$548,Transactions_View!$C$2:$C$548,A383,Transactions_View!$L$2:$L$548,B383)</f>
        <v/>
      </c>
      <c r="D383" s="2">
        <f>IFERROR(VLOOKUP(A383,Merchants!$A$2:$D$41,4,FALSE),"Merchant not found")</f>
        <v/>
      </c>
    </row>
    <row r="384">
      <c r="A384" s="2" t="n">
        <v>35</v>
      </c>
      <c r="B384" s="7" t="n">
        <v>46050</v>
      </c>
      <c r="C384" s="8">
        <f>SUMIFS(Transactions_View!$E$2:$E$548,Transactions_View!$C$2:$C$548,A384,Transactions_View!$L$2:$L$548,B384)</f>
        <v/>
      </c>
      <c r="D384" s="2">
        <f>IFERROR(VLOOKUP(A384,Merchants!$A$2:$D$41,4,FALSE),"Merchant not found")</f>
        <v/>
      </c>
    </row>
    <row r="385">
      <c r="A385" s="2" t="n">
        <v>35</v>
      </c>
      <c r="B385" s="7" t="n">
        <v>46052</v>
      </c>
      <c r="C385" s="8">
        <f>SUMIFS(Transactions_View!$E$2:$E$548,Transactions_View!$C$2:$C$548,A385,Transactions_View!$L$2:$L$548,B385)</f>
        <v/>
      </c>
      <c r="D385" s="2">
        <f>IFERROR(VLOOKUP(A385,Merchants!$A$2:$D$41,4,FALSE),"Merchant not found")</f>
        <v/>
      </c>
    </row>
    <row r="386">
      <c r="A386" s="2" t="n">
        <v>36</v>
      </c>
      <c r="B386" s="7" t="n">
        <v>46023</v>
      </c>
      <c r="C386" s="8">
        <f>SUMIFS(Transactions_View!$E$2:$E$548,Transactions_View!$C$2:$C$548,A386,Transactions_View!$L$2:$L$548,B386)</f>
        <v/>
      </c>
      <c r="D386" s="2">
        <f>IFERROR(VLOOKUP(A386,Merchants!$A$2:$D$41,4,FALSE),"Merchant not found")</f>
        <v/>
      </c>
    </row>
    <row r="387">
      <c r="A387" s="2" t="n">
        <v>36</v>
      </c>
      <c r="B387" s="7" t="n">
        <v>46024</v>
      </c>
      <c r="C387" s="8">
        <f>SUMIFS(Transactions_View!$E$2:$E$548,Transactions_View!$C$2:$C$548,A387,Transactions_View!$L$2:$L$548,B387)</f>
        <v/>
      </c>
      <c r="D387" s="2">
        <f>IFERROR(VLOOKUP(A387,Merchants!$A$2:$D$41,4,FALSE),"Merchant not found")</f>
        <v/>
      </c>
    </row>
    <row r="388">
      <c r="A388" s="2" t="n">
        <v>36</v>
      </c>
      <c r="B388" s="7" t="n">
        <v>46025</v>
      </c>
      <c r="C388" s="8">
        <f>SUMIFS(Transactions_View!$E$2:$E$548,Transactions_View!$C$2:$C$548,A388,Transactions_View!$L$2:$L$548,B388)</f>
        <v/>
      </c>
      <c r="D388" s="2">
        <f>IFERROR(VLOOKUP(A388,Merchants!$A$2:$D$41,4,FALSE),"Merchant not found")</f>
        <v/>
      </c>
    </row>
    <row r="389">
      <c r="A389" s="2" t="n">
        <v>36</v>
      </c>
      <c r="B389" s="7" t="n">
        <v>46026</v>
      </c>
      <c r="C389" s="8">
        <f>SUMIFS(Transactions_View!$E$2:$E$548,Transactions_View!$C$2:$C$548,A389,Transactions_View!$L$2:$L$548,B389)</f>
        <v/>
      </c>
      <c r="D389" s="2">
        <f>IFERROR(VLOOKUP(A389,Merchants!$A$2:$D$41,4,FALSE),"Merchant not found")</f>
        <v/>
      </c>
    </row>
    <row r="390">
      <c r="A390" s="2" t="n">
        <v>36</v>
      </c>
      <c r="B390" s="7" t="n">
        <v>46038</v>
      </c>
      <c r="C390" s="8">
        <f>SUMIFS(Transactions_View!$E$2:$E$548,Transactions_View!$C$2:$C$548,A390,Transactions_View!$L$2:$L$548,B390)</f>
        <v/>
      </c>
      <c r="D390" s="2">
        <f>IFERROR(VLOOKUP(A390,Merchants!$A$2:$D$41,4,FALSE),"Merchant not found")</f>
        <v/>
      </c>
    </row>
    <row r="391">
      <c r="A391" s="2" t="n">
        <v>36</v>
      </c>
      <c r="B391" s="7" t="n">
        <v>46039</v>
      </c>
      <c r="C391" s="8">
        <f>SUMIFS(Transactions_View!$E$2:$E$548,Transactions_View!$C$2:$C$548,A391,Transactions_View!$L$2:$L$548,B391)</f>
        <v/>
      </c>
      <c r="D391" s="2">
        <f>IFERROR(VLOOKUP(A391,Merchants!$A$2:$D$41,4,FALSE),"Merchant not found")</f>
        <v/>
      </c>
    </row>
    <row r="392">
      <c r="A392" s="2" t="n">
        <v>36</v>
      </c>
      <c r="B392" s="7" t="n">
        <v>46041</v>
      </c>
      <c r="C392" s="8">
        <f>SUMIFS(Transactions_View!$E$2:$E$548,Transactions_View!$C$2:$C$548,A392,Transactions_View!$L$2:$L$548,B392)</f>
        <v/>
      </c>
      <c r="D392" s="2">
        <f>IFERROR(VLOOKUP(A392,Merchants!$A$2:$D$41,4,FALSE),"Merchant not found")</f>
        <v/>
      </c>
    </row>
    <row r="393">
      <c r="A393" s="2" t="n">
        <v>36</v>
      </c>
      <c r="B393" s="7" t="n">
        <v>46042</v>
      </c>
      <c r="C393" s="8">
        <f>SUMIFS(Transactions_View!$E$2:$E$548,Transactions_View!$C$2:$C$548,A393,Transactions_View!$L$2:$L$548,B393)</f>
        <v/>
      </c>
      <c r="D393" s="2">
        <f>IFERROR(VLOOKUP(A393,Merchants!$A$2:$D$41,4,FALSE),"Merchant not found")</f>
        <v/>
      </c>
    </row>
    <row r="394">
      <c r="A394" s="2" t="n">
        <v>36</v>
      </c>
      <c r="B394" s="7" t="n">
        <v>46046</v>
      </c>
      <c r="C394" s="8">
        <f>SUMIFS(Transactions_View!$E$2:$E$548,Transactions_View!$C$2:$C$548,A394,Transactions_View!$L$2:$L$548,B394)</f>
        <v/>
      </c>
      <c r="D394" s="2">
        <f>IFERROR(VLOOKUP(A394,Merchants!$A$2:$D$41,4,FALSE),"Merchant not found")</f>
        <v/>
      </c>
    </row>
    <row r="395">
      <c r="A395" s="2" t="n">
        <v>36</v>
      </c>
      <c r="B395" s="7" t="n">
        <v>46048</v>
      </c>
      <c r="C395" s="8">
        <f>SUMIFS(Transactions_View!$E$2:$E$548,Transactions_View!$C$2:$C$548,A395,Transactions_View!$L$2:$L$548,B395)</f>
        <v/>
      </c>
      <c r="D395" s="2">
        <f>IFERROR(VLOOKUP(A395,Merchants!$A$2:$D$41,4,FALSE),"Merchant not found")</f>
        <v/>
      </c>
    </row>
    <row r="396">
      <c r="A396" s="2" t="n">
        <v>36</v>
      </c>
      <c r="B396" s="7" t="n">
        <v>46050</v>
      </c>
      <c r="C396" s="8">
        <f>SUMIFS(Transactions_View!$E$2:$E$548,Transactions_View!$C$2:$C$548,A396,Transactions_View!$L$2:$L$548,B396)</f>
        <v/>
      </c>
      <c r="D396" s="2">
        <f>IFERROR(VLOOKUP(A396,Merchants!$A$2:$D$41,4,FALSE),"Merchant not found")</f>
        <v/>
      </c>
    </row>
    <row r="397">
      <c r="A397" s="2" t="n">
        <v>36</v>
      </c>
      <c r="B397" s="7" t="n">
        <v>46051</v>
      </c>
      <c r="C397" s="8">
        <f>SUMIFS(Transactions_View!$E$2:$E$548,Transactions_View!$C$2:$C$548,A397,Transactions_View!$L$2:$L$548,B397)</f>
        <v/>
      </c>
      <c r="D397" s="2">
        <f>IFERROR(VLOOKUP(A397,Merchants!$A$2:$D$41,4,FALSE),"Merchant not found")</f>
        <v/>
      </c>
    </row>
    <row r="398">
      <c r="A398" s="2" t="n">
        <v>37</v>
      </c>
      <c r="B398" s="7" t="n">
        <v>46023</v>
      </c>
      <c r="C398" s="8">
        <f>SUMIFS(Transactions_View!$E$2:$E$548,Transactions_View!$C$2:$C$548,A398,Transactions_View!$L$2:$L$548,B398)</f>
        <v/>
      </c>
      <c r="D398" s="2">
        <f>IFERROR(VLOOKUP(A398,Merchants!$A$2:$D$41,4,FALSE),"Merchant not found")</f>
        <v/>
      </c>
    </row>
    <row r="399">
      <c r="A399" s="2" t="n">
        <v>37</v>
      </c>
      <c r="B399" s="7" t="n">
        <v>46024</v>
      </c>
      <c r="C399" s="8">
        <f>SUMIFS(Transactions_View!$E$2:$E$548,Transactions_View!$C$2:$C$548,A399,Transactions_View!$L$2:$L$548,B399)</f>
        <v/>
      </c>
      <c r="D399" s="2">
        <f>IFERROR(VLOOKUP(A399,Merchants!$A$2:$D$41,4,FALSE),"Merchant not found")</f>
        <v/>
      </c>
    </row>
    <row r="400">
      <c r="A400" s="2" t="n">
        <v>37</v>
      </c>
      <c r="B400" s="7" t="n">
        <v>46025</v>
      </c>
      <c r="C400" s="8">
        <f>SUMIFS(Transactions_View!$E$2:$E$548,Transactions_View!$C$2:$C$548,A400,Transactions_View!$L$2:$L$548,B400)</f>
        <v/>
      </c>
      <c r="D400" s="2">
        <f>IFERROR(VLOOKUP(A400,Merchants!$A$2:$D$41,4,FALSE),"Merchant not found")</f>
        <v/>
      </c>
    </row>
    <row r="401">
      <c r="A401" s="2" t="n">
        <v>37</v>
      </c>
      <c r="B401" s="7" t="n">
        <v>46026</v>
      </c>
      <c r="C401" s="8">
        <f>SUMIFS(Transactions_View!$E$2:$E$548,Transactions_View!$C$2:$C$548,A401,Transactions_View!$L$2:$L$548,B401)</f>
        <v/>
      </c>
      <c r="D401" s="2">
        <f>IFERROR(VLOOKUP(A401,Merchants!$A$2:$D$41,4,FALSE),"Merchant not found")</f>
        <v/>
      </c>
    </row>
    <row r="402">
      <c r="A402" s="2" t="n">
        <v>37</v>
      </c>
      <c r="B402" s="7" t="n">
        <v>46027</v>
      </c>
      <c r="C402" s="8">
        <f>SUMIFS(Transactions_View!$E$2:$E$548,Transactions_View!$C$2:$C$548,A402,Transactions_View!$L$2:$L$548,B402)</f>
        <v/>
      </c>
      <c r="D402" s="2">
        <f>IFERROR(VLOOKUP(A402,Merchants!$A$2:$D$41,4,FALSE),"Merchant not found")</f>
        <v/>
      </c>
    </row>
    <row r="403">
      <c r="A403" s="2" t="n">
        <v>37</v>
      </c>
      <c r="B403" s="7" t="n">
        <v>46028</v>
      </c>
      <c r="C403" s="8">
        <f>SUMIFS(Transactions_View!$E$2:$E$548,Transactions_View!$C$2:$C$548,A403,Transactions_View!$L$2:$L$548,B403)</f>
        <v/>
      </c>
      <c r="D403" s="2">
        <f>IFERROR(VLOOKUP(A403,Merchants!$A$2:$D$41,4,FALSE),"Merchant not found")</f>
        <v/>
      </c>
    </row>
    <row r="404">
      <c r="A404" s="2" t="n">
        <v>37</v>
      </c>
      <c r="B404" s="7" t="n">
        <v>46034</v>
      </c>
      <c r="C404" s="8">
        <f>SUMIFS(Transactions_View!$E$2:$E$548,Transactions_View!$C$2:$C$548,A404,Transactions_View!$L$2:$L$548,B404)</f>
        <v/>
      </c>
      <c r="D404" s="2">
        <f>IFERROR(VLOOKUP(A404,Merchants!$A$2:$D$41,4,FALSE),"Merchant not found")</f>
        <v/>
      </c>
    </row>
    <row r="405">
      <c r="A405" s="2" t="n">
        <v>37</v>
      </c>
      <c r="B405" s="7" t="n">
        <v>46038</v>
      </c>
      <c r="C405" s="8">
        <f>SUMIFS(Transactions_View!$E$2:$E$548,Transactions_View!$C$2:$C$548,A405,Transactions_View!$L$2:$L$548,B405)</f>
        <v/>
      </c>
      <c r="D405" s="2">
        <f>IFERROR(VLOOKUP(A405,Merchants!$A$2:$D$41,4,FALSE),"Merchant not found")</f>
        <v/>
      </c>
    </row>
    <row r="406">
      <c r="A406" s="2" t="n">
        <v>37</v>
      </c>
      <c r="B406" s="7" t="n">
        <v>46039</v>
      </c>
      <c r="C406" s="8">
        <f>SUMIFS(Transactions_View!$E$2:$E$548,Transactions_View!$C$2:$C$548,A406,Transactions_View!$L$2:$L$548,B406)</f>
        <v/>
      </c>
      <c r="D406" s="2">
        <f>IFERROR(VLOOKUP(A406,Merchants!$A$2:$D$41,4,FALSE),"Merchant not found")</f>
        <v/>
      </c>
    </row>
    <row r="407">
      <c r="A407" s="2" t="n">
        <v>37</v>
      </c>
      <c r="B407" s="7" t="n">
        <v>46042</v>
      </c>
      <c r="C407" s="8">
        <f>SUMIFS(Transactions_View!$E$2:$E$548,Transactions_View!$C$2:$C$548,A407,Transactions_View!$L$2:$L$548,B407)</f>
        <v/>
      </c>
      <c r="D407" s="2">
        <f>IFERROR(VLOOKUP(A407,Merchants!$A$2:$D$41,4,FALSE),"Merchant not found")</f>
        <v/>
      </c>
    </row>
    <row r="408">
      <c r="A408" s="2" t="n">
        <v>37</v>
      </c>
      <c r="B408" s="7" t="n">
        <v>46043</v>
      </c>
      <c r="C408" s="8">
        <f>SUMIFS(Transactions_View!$E$2:$E$548,Transactions_View!$C$2:$C$548,A408,Transactions_View!$L$2:$L$548,B408)</f>
        <v/>
      </c>
      <c r="D408" s="2">
        <f>IFERROR(VLOOKUP(A408,Merchants!$A$2:$D$41,4,FALSE),"Merchant not found")</f>
        <v/>
      </c>
    </row>
    <row r="409">
      <c r="A409" s="2" t="n">
        <v>37</v>
      </c>
      <c r="B409" s="7" t="n">
        <v>46045</v>
      </c>
      <c r="C409" s="8">
        <f>SUMIFS(Transactions_View!$E$2:$E$548,Transactions_View!$C$2:$C$548,A409,Transactions_View!$L$2:$L$548,B409)</f>
        <v/>
      </c>
      <c r="D409" s="2">
        <f>IFERROR(VLOOKUP(A409,Merchants!$A$2:$D$41,4,FALSE),"Merchant not found")</f>
        <v/>
      </c>
    </row>
    <row r="410">
      <c r="A410" s="2" t="n">
        <v>37</v>
      </c>
      <c r="B410" s="7" t="n">
        <v>46049</v>
      </c>
      <c r="C410" s="8">
        <f>SUMIFS(Transactions_View!$E$2:$E$548,Transactions_View!$C$2:$C$548,A410,Transactions_View!$L$2:$L$548,B410)</f>
        <v/>
      </c>
      <c r="D410" s="2">
        <f>IFERROR(VLOOKUP(A410,Merchants!$A$2:$D$41,4,FALSE),"Merchant not found")</f>
        <v/>
      </c>
    </row>
    <row r="411">
      <c r="A411" s="2" t="n">
        <v>37</v>
      </c>
      <c r="B411" s="7" t="n">
        <v>46050</v>
      </c>
      <c r="C411" s="8">
        <f>SUMIFS(Transactions_View!$E$2:$E$548,Transactions_View!$C$2:$C$548,A411,Transactions_View!$L$2:$L$548,B411)</f>
        <v/>
      </c>
      <c r="D411" s="2">
        <f>IFERROR(VLOOKUP(A411,Merchants!$A$2:$D$41,4,FALSE),"Merchant not found")</f>
        <v/>
      </c>
    </row>
    <row r="412">
      <c r="A412" s="2" t="n">
        <v>37</v>
      </c>
      <c r="B412" s="7" t="n">
        <v>46051</v>
      </c>
      <c r="C412" s="8">
        <f>SUMIFS(Transactions_View!$E$2:$E$548,Transactions_View!$C$2:$C$548,A412,Transactions_View!$L$2:$L$548,B412)</f>
        <v/>
      </c>
      <c r="D412" s="2">
        <f>IFERROR(VLOOKUP(A412,Merchants!$A$2:$D$41,4,FALSE),"Merchant not found")</f>
        <v/>
      </c>
    </row>
    <row r="413">
      <c r="A413" s="2" t="n">
        <v>37</v>
      </c>
      <c r="B413" s="7" t="n">
        <v>46052</v>
      </c>
      <c r="C413" s="8">
        <f>SUMIFS(Transactions_View!$E$2:$E$548,Transactions_View!$C$2:$C$548,A413,Transactions_View!$L$2:$L$548,B413)</f>
        <v/>
      </c>
      <c r="D413" s="2">
        <f>IFERROR(VLOOKUP(A413,Merchants!$A$2:$D$41,4,FALSE),"Merchant not found")</f>
        <v/>
      </c>
    </row>
    <row r="414">
      <c r="A414" s="2" t="n">
        <v>38</v>
      </c>
      <c r="B414" s="7" t="n">
        <v>46027</v>
      </c>
      <c r="C414" s="8">
        <f>SUMIFS(Transactions_View!$E$2:$E$548,Transactions_View!$C$2:$C$548,A414,Transactions_View!$L$2:$L$548,B414)</f>
        <v/>
      </c>
      <c r="D414" s="2">
        <f>IFERROR(VLOOKUP(A414,Merchants!$A$2:$D$41,4,FALSE),"Merchant not found")</f>
        <v/>
      </c>
    </row>
    <row r="415">
      <c r="A415" s="2" t="n">
        <v>38</v>
      </c>
      <c r="B415" s="7" t="n">
        <v>46028</v>
      </c>
      <c r="C415" s="8">
        <f>SUMIFS(Transactions_View!$E$2:$E$548,Transactions_View!$C$2:$C$548,A415,Transactions_View!$L$2:$L$548,B415)</f>
        <v/>
      </c>
      <c r="D415" s="2">
        <f>IFERROR(VLOOKUP(A415,Merchants!$A$2:$D$41,4,FALSE),"Merchant not found")</f>
        <v/>
      </c>
    </row>
    <row r="416">
      <c r="A416" s="2" t="n">
        <v>38</v>
      </c>
      <c r="B416" s="7" t="n">
        <v>46031</v>
      </c>
      <c r="C416" s="8">
        <f>SUMIFS(Transactions_View!$E$2:$E$548,Transactions_View!$C$2:$C$548,A416,Transactions_View!$L$2:$L$548,B416)</f>
        <v/>
      </c>
      <c r="D416" s="2">
        <f>IFERROR(VLOOKUP(A416,Merchants!$A$2:$D$41,4,FALSE),"Merchant not found")</f>
        <v/>
      </c>
    </row>
    <row r="417">
      <c r="A417" s="2" t="n">
        <v>38</v>
      </c>
      <c r="B417" s="7" t="n">
        <v>46032</v>
      </c>
      <c r="C417" s="8">
        <f>SUMIFS(Transactions_View!$E$2:$E$548,Transactions_View!$C$2:$C$548,A417,Transactions_View!$L$2:$L$548,B417)</f>
        <v/>
      </c>
      <c r="D417" s="2">
        <f>IFERROR(VLOOKUP(A417,Merchants!$A$2:$D$41,4,FALSE),"Merchant not found")</f>
        <v/>
      </c>
    </row>
    <row r="418">
      <c r="A418" s="2" t="n">
        <v>38</v>
      </c>
      <c r="B418" s="7" t="n">
        <v>46037</v>
      </c>
      <c r="C418" s="8">
        <f>SUMIFS(Transactions_View!$E$2:$E$548,Transactions_View!$C$2:$C$548,A418,Transactions_View!$L$2:$L$548,B418)</f>
        <v/>
      </c>
      <c r="D418" s="2">
        <f>IFERROR(VLOOKUP(A418,Merchants!$A$2:$D$41,4,FALSE),"Merchant not found")</f>
        <v/>
      </c>
    </row>
    <row r="419">
      <c r="A419" s="2" t="n">
        <v>38</v>
      </c>
      <c r="B419" s="7" t="n">
        <v>46044</v>
      </c>
      <c r="C419" s="8">
        <f>SUMIFS(Transactions_View!$E$2:$E$548,Transactions_View!$C$2:$C$548,A419,Transactions_View!$L$2:$L$548,B419)</f>
        <v/>
      </c>
      <c r="D419" s="2">
        <f>IFERROR(VLOOKUP(A419,Merchants!$A$2:$D$41,4,FALSE),"Merchant not found")</f>
        <v/>
      </c>
    </row>
    <row r="420">
      <c r="A420" s="2" t="n">
        <v>38</v>
      </c>
      <c r="B420" s="7" t="n">
        <v>46045</v>
      </c>
      <c r="C420" s="8">
        <f>SUMIFS(Transactions_View!$E$2:$E$548,Transactions_View!$C$2:$C$548,A420,Transactions_View!$L$2:$L$548,B420)</f>
        <v/>
      </c>
      <c r="D420" s="2">
        <f>IFERROR(VLOOKUP(A420,Merchants!$A$2:$D$41,4,FALSE),"Merchant not found")</f>
        <v/>
      </c>
    </row>
    <row r="421">
      <c r="A421" s="2" t="n">
        <v>38</v>
      </c>
      <c r="B421" s="7" t="n">
        <v>46050</v>
      </c>
      <c r="C421" s="8">
        <f>SUMIFS(Transactions_View!$E$2:$E$548,Transactions_View!$C$2:$C$548,A421,Transactions_View!$L$2:$L$548,B421)</f>
        <v/>
      </c>
      <c r="D421" s="2">
        <f>IFERROR(VLOOKUP(A421,Merchants!$A$2:$D$41,4,FALSE),"Merchant not found")</f>
        <v/>
      </c>
    </row>
    <row r="422">
      <c r="A422" s="2" t="n">
        <v>39</v>
      </c>
      <c r="B422" s="7" t="n">
        <v>46024</v>
      </c>
      <c r="C422" s="8">
        <f>SUMIFS(Transactions_View!$E$2:$E$548,Transactions_View!$C$2:$C$548,A422,Transactions_View!$L$2:$L$548,B422)</f>
        <v/>
      </c>
      <c r="D422" s="2">
        <f>IFERROR(VLOOKUP(A422,Merchants!$A$2:$D$41,4,FALSE),"Merchant not found")</f>
        <v/>
      </c>
    </row>
    <row r="423">
      <c r="A423" s="2" t="n">
        <v>39</v>
      </c>
      <c r="B423" s="7" t="n">
        <v>46027</v>
      </c>
      <c r="C423" s="8">
        <f>SUMIFS(Transactions_View!$E$2:$E$548,Transactions_View!$C$2:$C$548,A423,Transactions_View!$L$2:$L$548,B423)</f>
        <v/>
      </c>
      <c r="D423" s="2">
        <f>IFERROR(VLOOKUP(A423,Merchants!$A$2:$D$41,4,FALSE),"Merchant not found")</f>
        <v/>
      </c>
    </row>
    <row r="424">
      <c r="A424" s="2" t="n">
        <v>39</v>
      </c>
      <c r="B424" s="7" t="n">
        <v>46031</v>
      </c>
      <c r="C424" s="8">
        <f>SUMIFS(Transactions_View!$E$2:$E$548,Transactions_View!$C$2:$C$548,A424,Transactions_View!$L$2:$L$548,B424)</f>
        <v/>
      </c>
      <c r="D424" s="2">
        <f>IFERROR(VLOOKUP(A424,Merchants!$A$2:$D$41,4,FALSE),"Merchant not found")</f>
        <v/>
      </c>
    </row>
    <row r="425">
      <c r="A425" s="2" t="n">
        <v>39</v>
      </c>
      <c r="B425" s="7" t="n">
        <v>46032</v>
      </c>
      <c r="C425" s="8">
        <f>SUMIFS(Transactions_View!$E$2:$E$548,Transactions_View!$C$2:$C$548,A425,Transactions_View!$L$2:$L$548,B425)</f>
        <v/>
      </c>
      <c r="D425" s="2">
        <f>IFERROR(VLOOKUP(A425,Merchants!$A$2:$D$41,4,FALSE),"Merchant not found")</f>
        <v/>
      </c>
    </row>
    <row r="426">
      <c r="A426" s="2" t="n">
        <v>39</v>
      </c>
      <c r="B426" s="7" t="n">
        <v>46038</v>
      </c>
      <c r="C426" s="8">
        <f>SUMIFS(Transactions_View!$E$2:$E$548,Transactions_View!$C$2:$C$548,A426,Transactions_View!$L$2:$L$548,B426)</f>
        <v/>
      </c>
      <c r="D426" s="2">
        <f>IFERROR(VLOOKUP(A426,Merchants!$A$2:$D$41,4,FALSE),"Merchant not found")</f>
        <v/>
      </c>
    </row>
    <row r="427">
      <c r="A427" s="2" t="n">
        <v>39</v>
      </c>
      <c r="B427" s="7" t="n">
        <v>46039</v>
      </c>
      <c r="C427" s="8">
        <f>SUMIFS(Transactions_View!$E$2:$E$548,Transactions_View!$C$2:$C$548,A427,Transactions_View!$L$2:$L$548,B427)</f>
        <v/>
      </c>
      <c r="D427" s="2">
        <f>IFERROR(VLOOKUP(A427,Merchants!$A$2:$D$41,4,FALSE),"Merchant not found")</f>
        <v/>
      </c>
    </row>
    <row r="428">
      <c r="A428" s="2" t="n">
        <v>39</v>
      </c>
      <c r="B428" s="7" t="n">
        <v>46040</v>
      </c>
      <c r="C428" s="8">
        <f>SUMIFS(Transactions_View!$E$2:$E$548,Transactions_View!$C$2:$C$548,A428,Transactions_View!$L$2:$L$548,B428)</f>
        <v/>
      </c>
      <c r="D428" s="2">
        <f>IFERROR(VLOOKUP(A428,Merchants!$A$2:$D$41,4,FALSE),"Merchant not found")</f>
        <v/>
      </c>
    </row>
    <row r="429">
      <c r="A429" s="2" t="n">
        <v>39</v>
      </c>
      <c r="B429" s="7" t="n">
        <v>46044</v>
      </c>
      <c r="C429" s="8">
        <f>SUMIFS(Transactions_View!$E$2:$E$548,Transactions_View!$C$2:$C$548,A429,Transactions_View!$L$2:$L$548,B429)</f>
        <v/>
      </c>
      <c r="D429" s="2">
        <f>IFERROR(VLOOKUP(A429,Merchants!$A$2:$D$41,4,FALSE),"Merchant not found")</f>
        <v/>
      </c>
    </row>
    <row r="430">
      <c r="A430" s="2" t="n">
        <v>39</v>
      </c>
      <c r="B430" s="7" t="n">
        <v>46045</v>
      </c>
      <c r="C430" s="8">
        <f>SUMIFS(Transactions_View!$E$2:$E$548,Transactions_View!$C$2:$C$548,A430,Transactions_View!$L$2:$L$548,B430)</f>
        <v/>
      </c>
      <c r="D430" s="2">
        <f>IFERROR(VLOOKUP(A430,Merchants!$A$2:$D$41,4,FALSE),"Merchant not found")</f>
        <v/>
      </c>
    </row>
    <row r="431">
      <c r="A431" s="2" t="n">
        <v>39</v>
      </c>
      <c r="B431" s="7" t="n">
        <v>46051</v>
      </c>
      <c r="C431" s="8">
        <f>SUMIFS(Transactions_View!$E$2:$E$548,Transactions_View!$C$2:$C$548,A431,Transactions_View!$L$2:$L$548,B431)</f>
        <v/>
      </c>
      <c r="D431" s="2">
        <f>IFERROR(VLOOKUP(A431,Merchants!$A$2:$D$41,4,FALSE),"Merchant not found")</f>
        <v/>
      </c>
    </row>
    <row r="432">
      <c r="A432" s="2" t="n">
        <v>40</v>
      </c>
      <c r="B432" s="7" t="n">
        <v>46023</v>
      </c>
      <c r="C432" s="8">
        <f>SUMIFS(Transactions_View!$E$2:$E$548,Transactions_View!$C$2:$C$548,A432,Transactions_View!$L$2:$L$548,B432)</f>
        <v/>
      </c>
      <c r="D432" s="2">
        <f>IFERROR(VLOOKUP(A432,Merchants!$A$2:$D$41,4,FALSE),"Merchant not found")</f>
        <v/>
      </c>
    </row>
    <row r="433">
      <c r="A433" s="2" t="n">
        <v>40</v>
      </c>
      <c r="B433" s="7" t="n">
        <v>46025</v>
      </c>
      <c r="C433" s="8">
        <f>SUMIFS(Transactions_View!$E$2:$E$548,Transactions_View!$C$2:$C$548,A433,Transactions_View!$L$2:$L$548,B433)</f>
        <v/>
      </c>
      <c r="D433" s="2">
        <f>IFERROR(VLOOKUP(A433,Merchants!$A$2:$D$41,4,FALSE),"Merchant not found")</f>
        <v/>
      </c>
    </row>
    <row r="434">
      <c r="A434" s="2" t="n">
        <v>40</v>
      </c>
      <c r="B434" s="7" t="n">
        <v>46030</v>
      </c>
      <c r="C434" s="8">
        <f>SUMIFS(Transactions_View!$E$2:$E$548,Transactions_View!$C$2:$C$548,A434,Transactions_View!$L$2:$L$548,B434)</f>
        <v/>
      </c>
      <c r="D434" s="2">
        <f>IFERROR(VLOOKUP(A434,Merchants!$A$2:$D$41,4,FALSE),"Merchant not found")</f>
        <v/>
      </c>
    </row>
    <row r="435">
      <c r="A435" s="2" t="n">
        <v>40</v>
      </c>
      <c r="B435" s="7" t="n">
        <v>46033</v>
      </c>
      <c r="C435" s="8">
        <f>SUMIFS(Transactions_View!$E$2:$E$548,Transactions_View!$C$2:$C$548,A435,Transactions_View!$L$2:$L$548,B435)</f>
        <v/>
      </c>
      <c r="D435" s="2">
        <f>IFERROR(VLOOKUP(A435,Merchants!$A$2:$D$41,4,FALSE),"Merchant not found")</f>
        <v/>
      </c>
    </row>
    <row r="436">
      <c r="A436" s="2" t="n">
        <v>40</v>
      </c>
      <c r="B436" s="7" t="n">
        <v>46034</v>
      </c>
      <c r="C436" s="8">
        <f>SUMIFS(Transactions_View!$E$2:$E$548,Transactions_View!$C$2:$C$548,A436,Transactions_View!$L$2:$L$548,B436)</f>
        <v/>
      </c>
      <c r="D436" s="2">
        <f>IFERROR(VLOOKUP(A436,Merchants!$A$2:$D$41,4,FALSE),"Merchant not found")</f>
        <v/>
      </c>
    </row>
    <row r="437">
      <c r="A437" s="2" t="n">
        <v>40</v>
      </c>
      <c r="B437" s="7" t="n">
        <v>46035</v>
      </c>
      <c r="C437" s="8">
        <f>SUMIFS(Transactions_View!$E$2:$E$548,Transactions_View!$C$2:$C$548,A437,Transactions_View!$L$2:$L$548,B437)</f>
        <v/>
      </c>
      <c r="D437" s="2">
        <f>IFERROR(VLOOKUP(A437,Merchants!$A$2:$D$41,4,FALSE),"Merchant not found")</f>
        <v/>
      </c>
    </row>
    <row r="438">
      <c r="A438" s="2" t="n">
        <v>40</v>
      </c>
      <c r="B438" s="7" t="n">
        <v>46036</v>
      </c>
      <c r="C438" s="8">
        <f>SUMIFS(Transactions_View!$E$2:$E$548,Transactions_View!$C$2:$C$548,A438,Transactions_View!$L$2:$L$548,B438)</f>
        <v/>
      </c>
      <c r="D438" s="2">
        <f>IFERROR(VLOOKUP(A438,Merchants!$A$2:$D$41,4,FALSE),"Merchant not found")</f>
        <v/>
      </c>
    </row>
    <row r="439">
      <c r="A439" s="2" t="n">
        <v>40</v>
      </c>
      <c r="B439" s="7" t="n">
        <v>46037</v>
      </c>
      <c r="C439" s="8">
        <f>SUMIFS(Transactions_View!$E$2:$E$548,Transactions_View!$C$2:$C$548,A439,Transactions_View!$L$2:$L$548,B439)</f>
        <v/>
      </c>
      <c r="D439" s="2">
        <f>IFERROR(VLOOKUP(A439,Merchants!$A$2:$D$41,4,FALSE),"Merchant not found")</f>
        <v/>
      </c>
    </row>
    <row r="440">
      <c r="A440" s="2" t="n">
        <v>40</v>
      </c>
      <c r="B440" s="7" t="n">
        <v>46040</v>
      </c>
      <c r="C440" s="8">
        <f>SUMIFS(Transactions_View!$E$2:$E$548,Transactions_View!$C$2:$C$548,A440,Transactions_View!$L$2:$L$548,B440)</f>
        <v/>
      </c>
      <c r="D440" s="2">
        <f>IFERROR(VLOOKUP(A440,Merchants!$A$2:$D$41,4,FALSE),"Merchant not found")</f>
        <v/>
      </c>
    </row>
    <row r="441">
      <c r="A441" s="2" t="n">
        <v>40</v>
      </c>
      <c r="B441" s="7" t="n">
        <v>46041</v>
      </c>
      <c r="C441" s="8">
        <f>SUMIFS(Transactions_View!$E$2:$E$548,Transactions_View!$C$2:$C$548,A441,Transactions_View!$L$2:$L$548,B441)</f>
        <v/>
      </c>
      <c r="D441" s="2">
        <f>IFERROR(VLOOKUP(A441,Merchants!$A$2:$D$41,4,FALSE),"Merchant not found")</f>
        <v/>
      </c>
    </row>
    <row r="442">
      <c r="A442" s="2" t="n">
        <v>40</v>
      </c>
      <c r="B442" s="7" t="n">
        <v>46045</v>
      </c>
      <c r="C442" s="8">
        <f>SUMIFS(Transactions_View!$E$2:$E$548,Transactions_View!$C$2:$C$548,A442,Transactions_View!$L$2:$L$548,B442)</f>
        <v/>
      </c>
      <c r="D442" s="2">
        <f>IFERROR(VLOOKUP(A442,Merchants!$A$2:$D$41,4,FALSE),"Merchant not found")</f>
        <v/>
      </c>
    </row>
    <row r="443">
      <c r="A443" s="2" t="n">
        <v>40</v>
      </c>
      <c r="B443" s="7" t="n">
        <v>46051</v>
      </c>
      <c r="C443" s="8">
        <f>SUMIFS(Transactions_View!$E$2:$E$548,Transactions_View!$C$2:$C$548,A443,Transactions_View!$L$2:$L$548,B443)</f>
        <v/>
      </c>
      <c r="D443" s="2">
        <f>IFERROR(VLOOKUP(A443,Merchants!$A$2:$D$41,4,FALSE),"Merchant not found")</f>
        <v/>
      </c>
    </row>
    <row r="444">
      <c r="A444" s="2" t="n">
        <v>40</v>
      </c>
      <c r="B444" s="7" t="n">
        <v>46052</v>
      </c>
      <c r="C444" s="8">
        <f>SUMIFS(Transactions_View!$E$2:$E$548,Transactions_View!$C$2:$C$548,A444,Transactions_View!$L$2:$L$548,B444)</f>
        <v/>
      </c>
      <c r="D444" s="2">
        <f>IFERROR(VLOOKUP(A444,Merchants!$A$2:$D$41,4,FALSE),"Merchant not found")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1" customWidth="1" min="3" max="3"/>
    <col width="17" customWidth="1" min="4" max="4"/>
    <col width="11" customWidth="1" min="5" max="5"/>
    <col width="14" customWidth="1" min="6" max="6"/>
    <col width="11" customWidth="1" min="7" max="7"/>
    <col width="10" customWidth="1" min="8" max="8"/>
    <col width="16" customWidth="1" min="9" max="9"/>
    <col width="15" customWidth="1" min="10" max="10"/>
    <col width="10" customWidth="1" min="11" max="11"/>
    <col width="12" customWidth="1" min="12" max="12"/>
    <col width="13" customWidth="1" min="13" max="13"/>
    <col width="20" customWidth="1" min="14" max="14"/>
    <col width="24" customWidth="1" min="15" max="15"/>
  </cols>
  <sheetData>
    <row r="1">
      <c r="A1" s="3" t="inlineStr">
        <is>
          <t>transaction_id</t>
        </is>
      </c>
      <c r="B1" s="3" t="inlineStr">
        <is>
          <t>user_id</t>
        </is>
      </c>
      <c r="C1" s="3" t="inlineStr">
        <is>
          <t>merchant_id</t>
        </is>
      </c>
      <c r="D1" s="3" t="inlineStr">
        <is>
          <t>transaction_time</t>
        </is>
      </c>
      <c r="E1" s="3" t="inlineStr">
        <is>
          <t>amount_inr</t>
        </is>
      </c>
      <c r="F1" s="3" t="inlineStr">
        <is>
          <t>payment_method</t>
        </is>
      </c>
      <c r="G1" s="3" t="inlineStr">
        <is>
          <t>status</t>
        </is>
      </c>
      <c r="H1" s="3" t="inlineStr">
        <is>
          <t>risk_score</t>
        </is>
      </c>
      <c r="I1" s="3" t="inlineStr">
        <is>
          <t>merchant_name (VLOOKUP)</t>
        </is>
      </c>
      <c r="J1" s="3" t="inlineStr">
        <is>
          <t>category (VLOOKUP)</t>
        </is>
      </c>
      <c r="K1" s="3" t="inlineStr">
        <is>
          <t>region (VLOOKUP)</t>
        </is>
      </c>
      <c r="L1" s="3" t="inlineStr">
        <is>
          <t>txn_date</t>
        </is>
      </c>
      <c r="M1" s="3" t="inlineStr">
        <is>
          <t>fee_tier_pct (HLOOKUP)</t>
        </is>
      </c>
      <c r="N1" s="3" t="inlineStr">
        <is>
          <t>merchant_daily_total_inr (from Daily_Merchant pivot)</t>
        </is>
      </c>
      <c r="O1" s="3" t="inlineStr">
        <is>
          <t>classification (nested IF/AND)</t>
        </is>
      </c>
    </row>
    <row r="2">
      <c r="A2" s="2" t="inlineStr">
        <is>
          <t>TXN100000</t>
        </is>
      </c>
      <c r="B2" s="2" t="n">
        <v>350</v>
      </c>
      <c r="C2" s="2" t="n">
        <v>16</v>
      </c>
      <c r="D2" s="12" t="n">
        <v>46051.46736111111</v>
      </c>
      <c r="E2" s="8" t="n">
        <v>2999</v>
      </c>
      <c r="F2" s="2" t="inlineStr">
        <is>
          <t>Wallet</t>
        </is>
      </c>
      <c r="G2" s="2" t="inlineStr">
        <is>
          <t>captured</t>
        </is>
      </c>
      <c r="H2" s="2" t="n">
        <v>85</v>
      </c>
      <c r="I2" s="2">
        <f>IFERROR(VLOOKUP(C2,Merchants!$A$2:$D$41,2,FALSE),"Merchant not found")</f>
        <v/>
      </c>
      <c r="J2" s="2">
        <f>IFERROR(VLOOKUP(C2,Merchants!$A$2:$D$41,3,FALSE),"Merchant not found")</f>
        <v/>
      </c>
      <c r="K2" s="2">
        <f>IFERROR(VLOOKUP(C2,Merchants!$A$2:$D$41,4,FALSE),"Merchant not found")</f>
        <v/>
      </c>
      <c r="L2" s="7">
        <f>DATE(YEAR(D2),MONTH(D2),DAY(D2))</f>
        <v/>
      </c>
      <c r="M2" s="5">
        <f>IFERROR(HLOOKUP(F2,Fee_Tiers!$B$1:$E$2,2,FALSE),"Fee tier not found")</f>
        <v/>
      </c>
      <c r="N2" s="8">
        <f>SUMIFS(Daily_Merchant!$C$2:$C$444,Daily_Merchant!$A$2:$A$444,C2,Daily_Merchant!$B$2:$B$444,L2)</f>
        <v/>
      </c>
      <c r="O2" s="2">
        <f>IF(AND(N2&gt;5000,K2&lt;&gt;"East"),"High-Value Merchant Day","")</f>
        <v/>
      </c>
    </row>
    <row r="3">
      <c r="A3" s="2" t="inlineStr">
        <is>
          <t>TXN100001</t>
        </is>
      </c>
      <c r="B3" s="2" t="n">
        <v>287</v>
      </c>
      <c r="C3" s="2" t="n">
        <v>27</v>
      </c>
      <c r="D3" s="12" t="n">
        <v>46026.49236111111</v>
      </c>
      <c r="E3" s="8" t="n">
        <v>49</v>
      </c>
      <c r="F3" s="2" t="inlineStr">
        <is>
          <t>UPI</t>
        </is>
      </c>
      <c r="G3" s="2" t="inlineStr">
        <is>
          <t>captured</t>
        </is>
      </c>
      <c r="H3" s="2" t="n">
        <v>79</v>
      </c>
      <c r="I3" s="2">
        <f>IFERROR(VLOOKUP(C3,Merchants!$A$2:$D$41,2,FALSE),"Merchant not found")</f>
        <v/>
      </c>
      <c r="J3" s="2">
        <f>IFERROR(VLOOKUP(C3,Merchants!$A$2:$D$41,3,FALSE),"Merchant not found")</f>
        <v/>
      </c>
      <c r="K3" s="2">
        <f>IFERROR(VLOOKUP(C3,Merchants!$A$2:$D$41,4,FALSE),"Merchant not found")</f>
        <v/>
      </c>
      <c r="L3" s="7">
        <f>DATE(YEAR(D3),MONTH(D3),DAY(D3))</f>
        <v/>
      </c>
      <c r="M3" s="5">
        <f>IFERROR(HLOOKUP(F3,Fee_Tiers!$B$1:$E$2,2,FALSE),"Fee tier not found")</f>
        <v/>
      </c>
      <c r="N3" s="8">
        <f>SUMIFS(Daily_Merchant!$C$2:$C$444,Daily_Merchant!$A$2:$A$444,C3,Daily_Merchant!$B$2:$B$444,L3)</f>
        <v/>
      </c>
      <c r="O3" s="2">
        <f>IF(AND(N3&gt;5000,K3&lt;&gt;"East"),"High-Value Merchant Day","")</f>
        <v/>
      </c>
    </row>
    <row r="4">
      <c r="A4" s="2" t="inlineStr">
        <is>
          <t>TXN100002</t>
        </is>
      </c>
      <c r="B4" s="2" t="n">
        <v>122</v>
      </c>
      <c r="C4" s="2" t="n">
        <v>11</v>
      </c>
      <c r="D4" s="12" t="n">
        <v>46046.20763888889</v>
      </c>
      <c r="E4" s="8" t="n">
        <v>1499</v>
      </c>
      <c r="F4" s="2" t="inlineStr">
        <is>
          <t>Wallet</t>
        </is>
      </c>
      <c r="G4" s="2" t="inlineStr">
        <is>
          <t>captured</t>
        </is>
      </c>
      <c r="H4" s="2" t="n">
        <v>22</v>
      </c>
      <c r="I4" s="2">
        <f>IFERROR(VLOOKUP(C4,Merchants!$A$2:$D$41,2,FALSE),"Merchant not found")</f>
        <v/>
      </c>
      <c r="J4" s="2">
        <f>IFERROR(VLOOKUP(C4,Merchants!$A$2:$D$41,3,FALSE),"Merchant not found")</f>
        <v/>
      </c>
      <c r="K4" s="2">
        <f>IFERROR(VLOOKUP(C4,Merchants!$A$2:$D$41,4,FALSE),"Merchant not found")</f>
        <v/>
      </c>
      <c r="L4" s="7">
        <f>DATE(YEAR(D4),MONTH(D4),DAY(D4))</f>
        <v/>
      </c>
      <c r="M4" s="5">
        <f>IFERROR(HLOOKUP(F4,Fee_Tiers!$B$1:$E$2,2,FALSE),"Fee tier not found")</f>
        <v/>
      </c>
      <c r="N4" s="8">
        <f>SUMIFS(Daily_Merchant!$C$2:$C$444,Daily_Merchant!$A$2:$A$444,C4,Daily_Merchant!$B$2:$B$444,L4)</f>
        <v/>
      </c>
      <c r="O4" s="2">
        <f>IF(AND(N4&gt;5000,K4&lt;&gt;"East"),"High-Value Merchant Day","")</f>
        <v/>
      </c>
    </row>
    <row r="5">
      <c r="A5" s="2" t="inlineStr">
        <is>
          <t>TXN100003</t>
        </is>
      </c>
      <c r="B5" s="2" t="n">
        <v>92</v>
      </c>
      <c r="C5" s="2" t="n">
        <v>22</v>
      </c>
      <c r="D5" s="12" t="n">
        <v>46051.54236111111</v>
      </c>
      <c r="E5" s="8" t="n">
        <v>49</v>
      </c>
      <c r="F5" s="2" t="inlineStr">
        <is>
          <t>Netbanking</t>
        </is>
      </c>
      <c r="G5" s="2" t="inlineStr">
        <is>
          <t>captured</t>
        </is>
      </c>
      <c r="H5" s="2" t="n">
        <v>100</v>
      </c>
      <c r="I5" s="2">
        <f>IFERROR(VLOOKUP(C5,Merchants!$A$2:$D$41,2,FALSE),"Merchant not found")</f>
        <v/>
      </c>
      <c r="J5" s="2">
        <f>IFERROR(VLOOKUP(C5,Merchants!$A$2:$D$41,3,FALSE),"Merchant not found")</f>
        <v/>
      </c>
      <c r="K5" s="2">
        <f>IFERROR(VLOOKUP(C5,Merchants!$A$2:$D$41,4,FALSE),"Merchant not found")</f>
        <v/>
      </c>
      <c r="L5" s="7">
        <f>DATE(YEAR(D5),MONTH(D5),DAY(D5))</f>
        <v/>
      </c>
      <c r="M5" s="5">
        <f>IFERROR(HLOOKUP(F5,Fee_Tiers!$B$1:$E$2,2,FALSE),"Fee tier not found")</f>
        <v/>
      </c>
      <c r="N5" s="8">
        <f>SUMIFS(Daily_Merchant!$C$2:$C$444,Daily_Merchant!$A$2:$A$444,C5,Daily_Merchant!$B$2:$B$444,L5)</f>
        <v/>
      </c>
      <c r="O5" s="2">
        <f>IF(AND(N5&gt;5000,K5&lt;&gt;"East"),"High-Value Merchant Day","")</f>
        <v/>
      </c>
    </row>
    <row r="6">
      <c r="A6" s="2" t="inlineStr">
        <is>
          <t>TXN100004</t>
        </is>
      </c>
      <c r="B6" s="2" t="n">
        <v>343</v>
      </c>
      <c r="C6" s="2" t="n">
        <v>16</v>
      </c>
      <c r="D6" s="12" t="n">
        <v>46052.57708333333</v>
      </c>
      <c r="E6" s="8" t="n">
        <v>99</v>
      </c>
      <c r="F6" s="2" t="inlineStr">
        <is>
          <t>UPI</t>
        </is>
      </c>
      <c r="G6" s="2" t="inlineStr">
        <is>
          <t>captured</t>
        </is>
      </c>
      <c r="H6" s="2" t="n">
        <v>34</v>
      </c>
      <c r="I6" s="2">
        <f>IFERROR(VLOOKUP(C6,Merchants!$A$2:$D$41,2,FALSE),"Merchant not found")</f>
        <v/>
      </c>
      <c r="J6" s="2">
        <f>IFERROR(VLOOKUP(C6,Merchants!$A$2:$D$41,3,FALSE),"Merchant not found")</f>
        <v/>
      </c>
      <c r="K6" s="2">
        <f>IFERROR(VLOOKUP(C6,Merchants!$A$2:$D$41,4,FALSE),"Merchant not found")</f>
        <v/>
      </c>
      <c r="L6" s="7">
        <f>DATE(YEAR(D6),MONTH(D6),DAY(D6))</f>
        <v/>
      </c>
      <c r="M6" s="5">
        <f>IFERROR(HLOOKUP(F6,Fee_Tiers!$B$1:$E$2,2,FALSE),"Fee tier not found")</f>
        <v/>
      </c>
      <c r="N6" s="8">
        <f>SUMIFS(Daily_Merchant!$C$2:$C$444,Daily_Merchant!$A$2:$A$444,C6,Daily_Merchant!$B$2:$B$444,L6)</f>
        <v/>
      </c>
      <c r="O6" s="2">
        <f>IF(AND(N6&gt;5000,K6&lt;&gt;"East"),"High-Value Merchant Day","")</f>
        <v/>
      </c>
    </row>
    <row r="7">
      <c r="A7" s="2" t="inlineStr">
        <is>
          <t>TXN100005</t>
        </is>
      </c>
      <c r="B7" s="2" t="n">
        <v>196</v>
      </c>
      <c r="C7" s="2" t="n">
        <v>3</v>
      </c>
      <c r="D7" s="12" t="n">
        <v>46028.92083333333</v>
      </c>
      <c r="E7" s="8" t="n">
        <v>99</v>
      </c>
      <c r="F7" s="2" t="inlineStr">
        <is>
          <t>UPI</t>
        </is>
      </c>
      <c r="G7" s="2" t="inlineStr">
        <is>
          <t>captured</t>
        </is>
      </c>
      <c r="H7" s="2" t="n">
        <v>60</v>
      </c>
      <c r="I7" s="2">
        <f>IFERROR(VLOOKUP(C7,Merchants!$A$2:$D$41,2,FALSE),"Merchant not found")</f>
        <v/>
      </c>
      <c r="J7" s="2">
        <f>IFERROR(VLOOKUP(C7,Merchants!$A$2:$D$41,3,FALSE),"Merchant not found")</f>
        <v/>
      </c>
      <c r="K7" s="2">
        <f>IFERROR(VLOOKUP(C7,Merchants!$A$2:$D$41,4,FALSE),"Merchant not found")</f>
        <v/>
      </c>
      <c r="L7" s="7">
        <f>DATE(YEAR(D7),MONTH(D7),DAY(D7))</f>
        <v/>
      </c>
      <c r="M7" s="5">
        <f>IFERROR(HLOOKUP(F7,Fee_Tiers!$B$1:$E$2,2,FALSE),"Fee tier not found")</f>
        <v/>
      </c>
      <c r="N7" s="8">
        <f>SUMIFS(Daily_Merchant!$C$2:$C$444,Daily_Merchant!$A$2:$A$444,C7,Daily_Merchant!$B$2:$B$444,L7)</f>
        <v/>
      </c>
      <c r="O7" s="2">
        <f>IF(AND(N7&gt;5000,K7&lt;&gt;"East"),"High-Value Merchant Day","")</f>
        <v/>
      </c>
    </row>
    <row r="8">
      <c r="A8" s="2" t="inlineStr">
        <is>
          <t>TXN100006</t>
        </is>
      </c>
      <c r="B8" s="2" t="n">
        <v>236</v>
      </c>
      <c r="C8" s="2" t="n">
        <v>23</v>
      </c>
      <c r="D8" s="12" t="n">
        <v>46030.28611111111</v>
      </c>
      <c r="E8" s="8" t="n">
        <v>99</v>
      </c>
      <c r="F8" s="2" t="inlineStr">
        <is>
          <t>Wallet</t>
        </is>
      </c>
      <c r="G8" s="2" t="inlineStr">
        <is>
          <t>captured</t>
        </is>
      </c>
      <c r="H8" s="2" t="n">
        <v>39</v>
      </c>
      <c r="I8" s="2">
        <f>IFERROR(VLOOKUP(C8,Merchants!$A$2:$D$41,2,FALSE),"Merchant not found")</f>
        <v/>
      </c>
      <c r="J8" s="2">
        <f>IFERROR(VLOOKUP(C8,Merchants!$A$2:$D$41,3,FALSE),"Merchant not found")</f>
        <v/>
      </c>
      <c r="K8" s="2">
        <f>IFERROR(VLOOKUP(C8,Merchants!$A$2:$D$41,4,FALSE),"Merchant not found")</f>
        <v/>
      </c>
      <c r="L8" s="7">
        <f>DATE(YEAR(D8),MONTH(D8),DAY(D8))</f>
        <v/>
      </c>
      <c r="M8" s="5">
        <f>IFERROR(HLOOKUP(F8,Fee_Tiers!$B$1:$E$2,2,FALSE),"Fee tier not found")</f>
        <v/>
      </c>
      <c r="N8" s="8">
        <f>SUMIFS(Daily_Merchant!$C$2:$C$444,Daily_Merchant!$A$2:$A$444,C8,Daily_Merchant!$B$2:$B$444,L8)</f>
        <v/>
      </c>
      <c r="O8" s="2">
        <f>IF(AND(N8&gt;5000,K8&lt;&gt;"East"),"High-Value Merchant Day","")</f>
        <v/>
      </c>
    </row>
    <row r="9">
      <c r="A9" s="2" t="inlineStr">
        <is>
          <t>TXN100007</t>
        </is>
      </c>
      <c r="B9" s="2" t="n">
        <v>13</v>
      </c>
      <c r="C9" s="2" t="n">
        <v>13</v>
      </c>
      <c r="D9" s="12" t="n">
        <v>46049.30138888889</v>
      </c>
      <c r="E9" s="8" t="n">
        <v>99</v>
      </c>
      <c r="F9" s="2" t="inlineStr">
        <is>
          <t>UPI</t>
        </is>
      </c>
      <c r="G9" s="2" t="inlineStr">
        <is>
          <t>captured</t>
        </is>
      </c>
      <c r="H9" s="2" t="n">
        <v>51</v>
      </c>
      <c r="I9" s="2">
        <f>IFERROR(VLOOKUP(C9,Merchants!$A$2:$D$41,2,FALSE),"Merchant not found")</f>
        <v/>
      </c>
      <c r="J9" s="2">
        <f>IFERROR(VLOOKUP(C9,Merchants!$A$2:$D$41,3,FALSE),"Merchant not found")</f>
        <v/>
      </c>
      <c r="K9" s="2">
        <f>IFERROR(VLOOKUP(C9,Merchants!$A$2:$D$41,4,FALSE),"Merchant not found")</f>
        <v/>
      </c>
      <c r="L9" s="7">
        <f>DATE(YEAR(D9),MONTH(D9),DAY(D9))</f>
        <v/>
      </c>
      <c r="M9" s="5">
        <f>IFERROR(HLOOKUP(F9,Fee_Tiers!$B$1:$E$2,2,FALSE),"Fee tier not found")</f>
        <v/>
      </c>
      <c r="N9" s="8">
        <f>SUMIFS(Daily_Merchant!$C$2:$C$444,Daily_Merchant!$A$2:$A$444,C9,Daily_Merchant!$B$2:$B$444,L9)</f>
        <v/>
      </c>
      <c r="O9" s="2">
        <f>IF(AND(N9&gt;5000,K9&lt;&gt;"East"),"High-Value Merchant Day","")</f>
        <v/>
      </c>
    </row>
    <row r="10">
      <c r="A10" s="2" t="inlineStr">
        <is>
          <t>TXN100008</t>
        </is>
      </c>
      <c r="B10" s="2" t="n">
        <v>36</v>
      </c>
      <c r="C10" s="2" t="n">
        <v>18</v>
      </c>
      <c r="D10" s="12" t="n">
        <v>46033.37152777778</v>
      </c>
      <c r="E10" s="8" t="n">
        <v>799</v>
      </c>
      <c r="F10" s="2" t="inlineStr">
        <is>
          <t>UPI</t>
        </is>
      </c>
      <c r="G10" s="2" t="inlineStr">
        <is>
          <t>captured</t>
        </is>
      </c>
      <c r="H10" s="2" t="n">
        <v>44</v>
      </c>
      <c r="I10" s="2">
        <f>IFERROR(VLOOKUP(C10,Merchants!$A$2:$D$41,2,FALSE),"Merchant not found")</f>
        <v/>
      </c>
      <c r="J10" s="2">
        <f>IFERROR(VLOOKUP(C10,Merchants!$A$2:$D$41,3,FALSE),"Merchant not found")</f>
        <v/>
      </c>
      <c r="K10" s="2">
        <f>IFERROR(VLOOKUP(C10,Merchants!$A$2:$D$41,4,FALSE),"Merchant not found")</f>
        <v/>
      </c>
      <c r="L10" s="7">
        <f>DATE(YEAR(D10),MONTH(D10),DAY(D10))</f>
        <v/>
      </c>
      <c r="M10" s="5">
        <f>IFERROR(HLOOKUP(F10,Fee_Tiers!$B$1:$E$2,2,FALSE),"Fee tier not found")</f>
        <v/>
      </c>
      <c r="N10" s="8">
        <f>SUMIFS(Daily_Merchant!$C$2:$C$444,Daily_Merchant!$A$2:$A$444,C10,Daily_Merchant!$B$2:$B$444,L10)</f>
        <v/>
      </c>
      <c r="O10" s="2">
        <f>IF(AND(N10&gt;5000,K10&lt;&gt;"East"),"High-Value Merchant Day","")</f>
        <v/>
      </c>
    </row>
    <row r="11">
      <c r="A11" s="2" t="inlineStr">
        <is>
          <t>TXN100009</t>
        </is>
      </c>
      <c r="B11" s="2" t="n">
        <v>348</v>
      </c>
      <c r="C11" s="2" t="n">
        <v>35</v>
      </c>
      <c r="D11" s="12" t="n">
        <v>46043.68402777778</v>
      </c>
      <c r="E11" s="8" t="n">
        <v>299</v>
      </c>
      <c r="F11" s="2" t="inlineStr">
        <is>
          <t>UPI</t>
        </is>
      </c>
      <c r="G11" s="2" t="inlineStr">
        <is>
          <t>captured</t>
        </is>
      </c>
      <c r="H11" s="2" t="n">
        <v>42</v>
      </c>
      <c r="I11" s="2">
        <f>IFERROR(VLOOKUP(C11,Merchants!$A$2:$D$41,2,FALSE),"Merchant not found")</f>
        <v/>
      </c>
      <c r="J11" s="2">
        <f>IFERROR(VLOOKUP(C11,Merchants!$A$2:$D$41,3,FALSE),"Merchant not found")</f>
        <v/>
      </c>
      <c r="K11" s="2">
        <f>IFERROR(VLOOKUP(C11,Merchants!$A$2:$D$41,4,FALSE),"Merchant not found")</f>
        <v/>
      </c>
      <c r="L11" s="7">
        <f>DATE(YEAR(D11),MONTH(D11),DAY(D11))</f>
        <v/>
      </c>
      <c r="M11" s="5">
        <f>IFERROR(HLOOKUP(F11,Fee_Tiers!$B$1:$E$2,2,FALSE),"Fee tier not found")</f>
        <v/>
      </c>
      <c r="N11" s="8">
        <f>SUMIFS(Daily_Merchant!$C$2:$C$444,Daily_Merchant!$A$2:$A$444,C11,Daily_Merchant!$B$2:$B$444,L11)</f>
        <v/>
      </c>
      <c r="O11" s="2">
        <f>IF(AND(N11&gt;5000,K11&lt;&gt;"East"),"High-Value Merchant Day","")</f>
        <v/>
      </c>
    </row>
    <row r="12">
      <c r="A12" s="2" t="inlineStr">
        <is>
          <t>TXN100010</t>
        </is>
      </c>
      <c r="B12" s="2" t="n">
        <v>134</v>
      </c>
      <c r="C12" s="2" t="n">
        <v>12</v>
      </c>
      <c r="D12" s="12" t="n">
        <v>46023.16388888889</v>
      </c>
      <c r="E12" s="8" t="n">
        <v>49</v>
      </c>
      <c r="F12" s="2" t="inlineStr">
        <is>
          <t>UPI</t>
        </is>
      </c>
      <c r="G12" s="2" t="inlineStr">
        <is>
          <t>captured</t>
        </is>
      </c>
      <c r="H12" s="2" t="n">
        <v>74</v>
      </c>
      <c r="I12" s="2">
        <f>IFERROR(VLOOKUP(C12,Merchants!$A$2:$D$41,2,FALSE),"Merchant not found")</f>
        <v/>
      </c>
      <c r="J12" s="2">
        <f>IFERROR(VLOOKUP(C12,Merchants!$A$2:$D$41,3,FALSE),"Merchant not found")</f>
        <v/>
      </c>
      <c r="K12" s="2">
        <f>IFERROR(VLOOKUP(C12,Merchants!$A$2:$D$41,4,FALSE),"Merchant not found")</f>
        <v/>
      </c>
      <c r="L12" s="7">
        <f>DATE(YEAR(D12),MONTH(D12),DAY(D12))</f>
        <v/>
      </c>
      <c r="M12" s="5">
        <f>IFERROR(HLOOKUP(F12,Fee_Tiers!$B$1:$E$2,2,FALSE),"Fee tier not found")</f>
        <v/>
      </c>
      <c r="N12" s="8">
        <f>SUMIFS(Daily_Merchant!$C$2:$C$444,Daily_Merchant!$A$2:$A$444,C12,Daily_Merchant!$B$2:$B$444,L12)</f>
        <v/>
      </c>
      <c r="O12" s="2">
        <f>IF(AND(N12&gt;5000,K12&lt;&gt;"East"),"High-Value Merchant Day","")</f>
        <v/>
      </c>
    </row>
    <row r="13">
      <c r="A13" s="2" t="inlineStr">
        <is>
          <t>TXN100011</t>
        </is>
      </c>
      <c r="B13" s="2" t="n">
        <v>306</v>
      </c>
      <c r="C13" s="2" t="n">
        <v>28</v>
      </c>
      <c r="D13" s="12" t="n">
        <v>46031.04583333333</v>
      </c>
      <c r="E13" s="8" t="n">
        <v>2999</v>
      </c>
      <c r="F13" s="2" t="inlineStr">
        <is>
          <t>Card</t>
        </is>
      </c>
      <c r="G13" s="2" t="inlineStr">
        <is>
          <t>failed</t>
        </is>
      </c>
      <c r="H13" s="2" t="n">
        <v>44</v>
      </c>
      <c r="I13" s="2">
        <f>IFERROR(VLOOKUP(C13,Merchants!$A$2:$D$41,2,FALSE),"Merchant not found")</f>
        <v/>
      </c>
      <c r="J13" s="2">
        <f>IFERROR(VLOOKUP(C13,Merchants!$A$2:$D$41,3,FALSE),"Merchant not found")</f>
        <v/>
      </c>
      <c r="K13" s="2">
        <f>IFERROR(VLOOKUP(C13,Merchants!$A$2:$D$41,4,FALSE),"Merchant not found")</f>
        <v/>
      </c>
      <c r="L13" s="7">
        <f>DATE(YEAR(D13),MONTH(D13),DAY(D13))</f>
        <v/>
      </c>
      <c r="M13" s="5">
        <f>IFERROR(HLOOKUP(F13,Fee_Tiers!$B$1:$E$2,2,FALSE),"Fee tier not found")</f>
        <v/>
      </c>
      <c r="N13" s="8">
        <f>SUMIFS(Daily_Merchant!$C$2:$C$444,Daily_Merchant!$A$2:$A$444,C13,Daily_Merchant!$B$2:$B$444,L13)</f>
        <v/>
      </c>
      <c r="O13" s="2">
        <f>IF(AND(N13&gt;5000,K13&lt;&gt;"East"),"High-Value Merchant Day","")</f>
        <v/>
      </c>
    </row>
    <row r="14">
      <c r="A14" s="2" t="inlineStr">
        <is>
          <t>TXN100012</t>
        </is>
      </c>
      <c r="B14" s="2" t="n">
        <v>311</v>
      </c>
      <c r="C14" s="2" t="n">
        <v>33</v>
      </c>
      <c r="D14" s="12" t="n">
        <v>46046.43541666667</v>
      </c>
      <c r="E14" s="8" t="n">
        <v>49</v>
      </c>
      <c r="F14" s="2" t="inlineStr">
        <is>
          <t>Wallet</t>
        </is>
      </c>
      <c r="G14" s="2" t="inlineStr">
        <is>
          <t>captured</t>
        </is>
      </c>
      <c r="H14" s="2" t="n">
        <v>14</v>
      </c>
      <c r="I14" s="2">
        <f>IFERROR(VLOOKUP(C14,Merchants!$A$2:$D$41,2,FALSE),"Merchant not found")</f>
        <v/>
      </c>
      <c r="J14" s="2">
        <f>IFERROR(VLOOKUP(C14,Merchants!$A$2:$D$41,3,FALSE),"Merchant not found")</f>
        <v/>
      </c>
      <c r="K14" s="2">
        <f>IFERROR(VLOOKUP(C14,Merchants!$A$2:$D$41,4,FALSE),"Merchant not found")</f>
        <v/>
      </c>
      <c r="L14" s="7">
        <f>DATE(YEAR(D14),MONTH(D14),DAY(D14))</f>
        <v/>
      </c>
      <c r="M14" s="5">
        <f>IFERROR(HLOOKUP(F14,Fee_Tiers!$B$1:$E$2,2,FALSE),"Fee tier not found")</f>
        <v/>
      </c>
      <c r="N14" s="8">
        <f>SUMIFS(Daily_Merchant!$C$2:$C$444,Daily_Merchant!$A$2:$A$444,C14,Daily_Merchant!$B$2:$B$444,L14)</f>
        <v/>
      </c>
      <c r="O14" s="2">
        <f>IF(AND(N14&gt;5000,K14&lt;&gt;"East"),"High-Value Merchant Day","")</f>
        <v/>
      </c>
    </row>
    <row r="15">
      <c r="A15" s="2" t="inlineStr">
        <is>
          <t>TXN100013</t>
        </is>
      </c>
      <c r="B15" s="2" t="n">
        <v>131</v>
      </c>
      <c r="C15" s="2" t="n">
        <v>3</v>
      </c>
      <c r="D15" s="12" t="n">
        <v>46035.75833333333</v>
      </c>
      <c r="E15" s="8" t="n">
        <v>49</v>
      </c>
      <c r="F15" s="2" t="inlineStr">
        <is>
          <t>UPI</t>
        </is>
      </c>
      <c r="G15" s="2" t="inlineStr">
        <is>
          <t>captured</t>
        </is>
      </c>
      <c r="H15" s="2" t="n">
        <v>90</v>
      </c>
      <c r="I15" s="2">
        <f>IFERROR(VLOOKUP(C15,Merchants!$A$2:$D$41,2,FALSE),"Merchant not found")</f>
        <v/>
      </c>
      <c r="J15" s="2">
        <f>IFERROR(VLOOKUP(C15,Merchants!$A$2:$D$41,3,FALSE),"Merchant not found")</f>
        <v/>
      </c>
      <c r="K15" s="2">
        <f>IFERROR(VLOOKUP(C15,Merchants!$A$2:$D$41,4,FALSE),"Merchant not found")</f>
        <v/>
      </c>
      <c r="L15" s="7">
        <f>DATE(YEAR(D15),MONTH(D15),DAY(D15))</f>
        <v/>
      </c>
      <c r="M15" s="5">
        <f>IFERROR(HLOOKUP(F15,Fee_Tiers!$B$1:$E$2,2,FALSE),"Fee tier not found")</f>
        <v/>
      </c>
      <c r="N15" s="8">
        <f>SUMIFS(Daily_Merchant!$C$2:$C$444,Daily_Merchant!$A$2:$A$444,C15,Daily_Merchant!$B$2:$B$444,L15)</f>
        <v/>
      </c>
      <c r="O15" s="2">
        <f>IF(AND(N15&gt;5000,K15&lt;&gt;"East"),"High-Value Merchant Day","")</f>
        <v/>
      </c>
    </row>
    <row r="16">
      <c r="A16" s="2" t="inlineStr">
        <is>
          <t>TXN100014</t>
        </is>
      </c>
      <c r="B16" s="2" t="n">
        <v>276</v>
      </c>
      <c r="C16" s="2" t="n">
        <v>13</v>
      </c>
      <c r="D16" s="12" t="n">
        <v>46036.02291666667</v>
      </c>
      <c r="E16" s="8" t="n">
        <v>1499</v>
      </c>
      <c r="F16" s="2" t="inlineStr">
        <is>
          <t>UPI</t>
        </is>
      </c>
      <c r="G16" s="2" t="inlineStr">
        <is>
          <t>captured</t>
        </is>
      </c>
      <c r="H16" s="2" t="n">
        <v>46</v>
      </c>
      <c r="I16" s="2">
        <f>IFERROR(VLOOKUP(C16,Merchants!$A$2:$D$41,2,FALSE),"Merchant not found")</f>
        <v/>
      </c>
      <c r="J16" s="2">
        <f>IFERROR(VLOOKUP(C16,Merchants!$A$2:$D$41,3,FALSE),"Merchant not found")</f>
        <v/>
      </c>
      <c r="K16" s="2">
        <f>IFERROR(VLOOKUP(C16,Merchants!$A$2:$D$41,4,FALSE),"Merchant not found")</f>
        <v/>
      </c>
      <c r="L16" s="7">
        <f>DATE(YEAR(D16),MONTH(D16),DAY(D16))</f>
        <v/>
      </c>
      <c r="M16" s="5">
        <f>IFERROR(HLOOKUP(F16,Fee_Tiers!$B$1:$E$2,2,FALSE),"Fee tier not found")</f>
        <v/>
      </c>
      <c r="N16" s="8">
        <f>SUMIFS(Daily_Merchant!$C$2:$C$444,Daily_Merchant!$A$2:$A$444,C16,Daily_Merchant!$B$2:$B$444,L16)</f>
        <v/>
      </c>
      <c r="O16" s="2">
        <f>IF(AND(N16&gt;5000,K16&lt;&gt;"East"),"High-Value Merchant Day","")</f>
        <v/>
      </c>
    </row>
    <row r="17">
      <c r="A17" s="2" t="inlineStr">
        <is>
          <t>TXN100015</t>
        </is>
      </c>
      <c r="B17" s="2" t="n">
        <v>170</v>
      </c>
      <c r="C17" s="2" t="n">
        <v>40</v>
      </c>
      <c r="D17" s="12" t="n">
        <v>46036.1125</v>
      </c>
      <c r="E17" s="8" t="n">
        <v>99</v>
      </c>
      <c r="F17" s="2" t="inlineStr">
        <is>
          <t>UPI</t>
        </is>
      </c>
      <c r="G17" s="2" t="inlineStr">
        <is>
          <t>captured</t>
        </is>
      </c>
      <c r="H17" s="2" t="n">
        <v>40</v>
      </c>
      <c r="I17" s="2">
        <f>IFERROR(VLOOKUP(C17,Merchants!$A$2:$D$41,2,FALSE),"Merchant not found")</f>
        <v/>
      </c>
      <c r="J17" s="2">
        <f>IFERROR(VLOOKUP(C17,Merchants!$A$2:$D$41,3,FALSE),"Merchant not found")</f>
        <v/>
      </c>
      <c r="K17" s="2">
        <f>IFERROR(VLOOKUP(C17,Merchants!$A$2:$D$41,4,FALSE),"Merchant not found")</f>
        <v/>
      </c>
      <c r="L17" s="7">
        <f>DATE(YEAR(D17),MONTH(D17),DAY(D17))</f>
        <v/>
      </c>
      <c r="M17" s="5">
        <f>IFERROR(HLOOKUP(F17,Fee_Tiers!$B$1:$E$2,2,FALSE),"Fee tier not found")</f>
        <v/>
      </c>
      <c r="N17" s="8">
        <f>SUMIFS(Daily_Merchant!$C$2:$C$444,Daily_Merchant!$A$2:$A$444,C17,Daily_Merchant!$B$2:$B$444,L17)</f>
        <v/>
      </c>
      <c r="O17" s="2">
        <f>IF(AND(N17&gt;5000,K17&lt;&gt;"East"),"High-Value Merchant Day","")</f>
        <v/>
      </c>
    </row>
    <row r="18">
      <c r="A18" s="2" t="inlineStr">
        <is>
          <t>TXN100016</t>
        </is>
      </c>
      <c r="B18" s="2" t="n">
        <v>154</v>
      </c>
      <c r="C18" s="2" t="n">
        <v>33</v>
      </c>
      <c r="D18" s="12" t="n">
        <v>46044.15694444445</v>
      </c>
      <c r="E18" s="8" t="n">
        <v>99</v>
      </c>
      <c r="F18" s="2" t="inlineStr">
        <is>
          <t>Netbanking</t>
        </is>
      </c>
      <c r="G18" s="2" t="inlineStr">
        <is>
          <t>captured</t>
        </is>
      </c>
      <c r="H18" s="2" t="n">
        <v>39</v>
      </c>
      <c r="I18" s="2">
        <f>IFERROR(VLOOKUP(C18,Merchants!$A$2:$D$41,2,FALSE),"Merchant not found")</f>
        <v/>
      </c>
      <c r="J18" s="2">
        <f>IFERROR(VLOOKUP(C18,Merchants!$A$2:$D$41,3,FALSE),"Merchant not found")</f>
        <v/>
      </c>
      <c r="K18" s="2">
        <f>IFERROR(VLOOKUP(C18,Merchants!$A$2:$D$41,4,FALSE),"Merchant not found")</f>
        <v/>
      </c>
      <c r="L18" s="7">
        <f>DATE(YEAR(D18),MONTH(D18),DAY(D18))</f>
        <v/>
      </c>
      <c r="M18" s="5">
        <f>IFERROR(HLOOKUP(F18,Fee_Tiers!$B$1:$E$2,2,FALSE),"Fee tier not found")</f>
        <v/>
      </c>
      <c r="N18" s="8">
        <f>SUMIFS(Daily_Merchant!$C$2:$C$444,Daily_Merchant!$A$2:$A$444,C18,Daily_Merchant!$B$2:$B$444,L18)</f>
        <v/>
      </c>
      <c r="O18" s="2">
        <f>IF(AND(N18&gt;5000,K18&lt;&gt;"East"),"High-Value Merchant Day","")</f>
        <v/>
      </c>
    </row>
    <row r="19">
      <c r="A19" s="2" t="inlineStr">
        <is>
          <t>TXN100017</t>
        </is>
      </c>
      <c r="B19" s="2" t="n">
        <v>207</v>
      </c>
      <c r="C19" s="2" t="n">
        <v>19</v>
      </c>
      <c r="D19" s="12" t="n">
        <v>46044.55555555555</v>
      </c>
      <c r="E19" s="8" t="n">
        <v>2999</v>
      </c>
      <c r="F19" s="2" t="inlineStr">
        <is>
          <t>Card</t>
        </is>
      </c>
      <c r="G19" s="2" t="inlineStr">
        <is>
          <t>captured</t>
        </is>
      </c>
      <c r="H19" s="2" t="n">
        <v>70</v>
      </c>
      <c r="I19" s="2">
        <f>IFERROR(VLOOKUP(C19,Merchants!$A$2:$D$41,2,FALSE),"Merchant not found")</f>
        <v/>
      </c>
      <c r="J19" s="2">
        <f>IFERROR(VLOOKUP(C19,Merchants!$A$2:$D$41,3,FALSE),"Merchant not found")</f>
        <v/>
      </c>
      <c r="K19" s="2">
        <f>IFERROR(VLOOKUP(C19,Merchants!$A$2:$D$41,4,FALSE),"Merchant not found")</f>
        <v/>
      </c>
      <c r="L19" s="7">
        <f>DATE(YEAR(D19),MONTH(D19),DAY(D19))</f>
        <v/>
      </c>
      <c r="M19" s="5">
        <f>IFERROR(HLOOKUP(F19,Fee_Tiers!$B$1:$E$2,2,FALSE),"Fee tier not found")</f>
        <v/>
      </c>
      <c r="N19" s="8">
        <f>SUMIFS(Daily_Merchant!$C$2:$C$444,Daily_Merchant!$A$2:$A$444,C19,Daily_Merchant!$B$2:$B$444,L19)</f>
        <v/>
      </c>
      <c r="O19" s="2">
        <f>IF(AND(N19&gt;5000,K19&lt;&gt;"East"),"High-Value Merchant Day","")</f>
        <v/>
      </c>
    </row>
    <row r="20">
      <c r="A20" s="2" t="inlineStr">
        <is>
          <t>TXN100018</t>
        </is>
      </c>
      <c r="B20" s="2" t="n">
        <v>341</v>
      </c>
      <c r="C20" s="2" t="n">
        <v>25</v>
      </c>
      <c r="D20" s="12" t="n">
        <v>46027.26805555556</v>
      </c>
      <c r="E20" s="8" t="n">
        <v>2999</v>
      </c>
      <c r="F20" s="2" t="inlineStr">
        <is>
          <t>UPI</t>
        </is>
      </c>
      <c r="G20" s="2" t="inlineStr">
        <is>
          <t>captured</t>
        </is>
      </c>
      <c r="H20" s="2" t="n">
        <v>86</v>
      </c>
      <c r="I20" s="2">
        <f>IFERROR(VLOOKUP(C20,Merchants!$A$2:$D$41,2,FALSE),"Merchant not found")</f>
        <v/>
      </c>
      <c r="J20" s="2">
        <f>IFERROR(VLOOKUP(C20,Merchants!$A$2:$D$41,3,FALSE),"Merchant not found")</f>
        <v/>
      </c>
      <c r="K20" s="2">
        <f>IFERROR(VLOOKUP(C20,Merchants!$A$2:$D$41,4,FALSE),"Merchant not found")</f>
        <v/>
      </c>
      <c r="L20" s="7">
        <f>DATE(YEAR(D20),MONTH(D20),DAY(D20))</f>
        <v/>
      </c>
      <c r="M20" s="5">
        <f>IFERROR(HLOOKUP(F20,Fee_Tiers!$B$1:$E$2,2,FALSE),"Fee tier not found")</f>
        <v/>
      </c>
      <c r="N20" s="8">
        <f>SUMIFS(Daily_Merchant!$C$2:$C$444,Daily_Merchant!$A$2:$A$444,C20,Daily_Merchant!$B$2:$B$444,L20)</f>
        <v/>
      </c>
      <c r="O20" s="2">
        <f>IF(AND(N20&gt;5000,K20&lt;&gt;"East"),"High-Value Merchant Day","")</f>
        <v/>
      </c>
    </row>
    <row r="21">
      <c r="A21" s="2" t="inlineStr">
        <is>
          <t>TXN100019</t>
        </is>
      </c>
      <c r="B21" s="2" t="n">
        <v>292</v>
      </c>
      <c r="C21" s="2" t="n">
        <v>20</v>
      </c>
      <c r="D21" s="12" t="n">
        <v>46046.23541666667</v>
      </c>
      <c r="E21" s="8" t="n">
        <v>49</v>
      </c>
      <c r="F21" s="2" t="inlineStr">
        <is>
          <t>UPI</t>
        </is>
      </c>
      <c r="G21" s="2" t="inlineStr">
        <is>
          <t>captured</t>
        </is>
      </c>
      <c r="H21" s="2" t="n">
        <v>51</v>
      </c>
      <c r="I21" s="2">
        <f>IFERROR(VLOOKUP(C21,Merchants!$A$2:$D$41,2,FALSE),"Merchant not found")</f>
        <v/>
      </c>
      <c r="J21" s="2">
        <f>IFERROR(VLOOKUP(C21,Merchants!$A$2:$D$41,3,FALSE),"Merchant not found")</f>
        <v/>
      </c>
      <c r="K21" s="2">
        <f>IFERROR(VLOOKUP(C21,Merchants!$A$2:$D$41,4,FALSE),"Merchant not found")</f>
        <v/>
      </c>
      <c r="L21" s="7">
        <f>DATE(YEAR(D21),MONTH(D21),DAY(D21))</f>
        <v/>
      </c>
      <c r="M21" s="5">
        <f>IFERROR(HLOOKUP(F21,Fee_Tiers!$B$1:$E$2,2,FALSE),"Fee tier not found")</f>
        <v/>
      </c>
      <c r="N21" s="8">
        <f>SUMIFS(Daily_Merchant!$C$2:$C$444,Daily_Merchant!$A$2:$A$444,C21,Daily_Merchant!$B$2:$B$444,L21)</f>
        <v/>
      </c>
      <c r="O21" s="2">
        <f>IF(AND(N21&gt;5000,K21&lt;&gt;"East"),"High-Value Merchant Day","")</f>
        <v/>
      </c>
    </row>
    <row r="22">
      <c r="A22" s="2" t="inlineStr">
        <is>
          <t>TXN100020</t>
        </is>
      </c>
      <c r="B22" s="2" t="n">
        <v>147</v>
      </c>
      <c r="C22" s="2" t="n">
        <v>14</v>
      </c>
      <c r="D22" s="12" t="n">
        <v>46040.01319444444</v>
      </c>
      <c r="E22" s="8" t="n">
        <v>99</v>
      </c>
      <c r="F22" s="2" t="inlineStr">
        <is>
          <t>Card</t>
        </is>
      </c>
      <c r="G22" s="2" t="inlineStr">
        <is>
          <t>captured</t>
        </is>
      </c>
      <c r="H22" s="2" t="n">
        <v>55</v>
      </c>
      <c r="I22" s="2">
        <f>IFERROR(VLOOKUP(C22,Merchants!$A$2:$D$41,2,FALSE),"Merchant not found")</f>
        <v/>
      </c>
      <c r="J22" s="2">
        <f>IFERROR(VLOOKUP(C22,Merchants!$A$2:$D$41,3,FALSE),"Merchant not found")</f>
        <v/>
      </c>
      <c r="K22" s="2">
        <f>IFERROR(VLOOKUP(C22,Merchants!$A$2:$D$41,4,FALSE),"Merchant not found")</f>
        <v/>
      </c>
      <c r="L22" s="7">
        <f>DATE(YEAR(D22),MONTH(D22),DAY(D22))</f>
        <v/>
      </c>
      <c r="M22" s="5">
        <f>IFERROR(HLOOKUP(F22,Fee_Tiers!$B$1:$E$2,2,FALSE),"Fee tier not found")</f>
        <v/>
      </c>
      <c r="N22" s="8">
        <f>SUMIFS(Daily_Merchant!$C$2:$C$444,Daily_Merchant!$A$2:$A$444,C22,Daily_Merchant!$B$2:$B$444,L22)</f>
        <v/>
      </c>
      <c r="O22" s="2">
        <f>IF(AND(N22&gt;5000,K22&lt;&gt;"East"),"High-Value Merchant Day","")</f>
        <v/>
      </c>
    </row>
    <row r="23">
      <c r="A23" s="2" t="inlineStr">
        <is>
          <t>TXN100021</t>
        </is>
      </c>
      <c r="B23" s="2" t="n">
        <v>336</v>
      </c>
      <c r="C23" s="2" t="n">
        <v>21</v>
      </c>
      <c r="D23" s="12" t="n">
        <v>46048.77638888889</v>
      </c>
      <c r="E23" s="8" t="n">
        <v>99</v>
      </c>
      <c r="F23" s="2" t="inlineStr">
        <is>
          <t>UPI</t>
        </is>
      </c>
      <c r="G23" s="2" t="inlineStr">
        <is>
          <t>captured</t>
        </is>
      </c>
      <c r="H23" s="2" t="n">
        <v>59</v>
      </c>
      <c r="I23" s="2">
        <f>IFERROR(VLOOKUP(C23,Merchants!$A$2:$D$41,2,FALSE),"Merchant not found")</f>
        <v/>
      </c>
      <c r="J23" s="2">
        <f>IFERROR(VLOOKUP(C23,Merchants!$A$2:$D$41,3,FALSE),"Merchant not found")</f>
        <v/>
      </c>
      <c r="K23" s="2">
        <f>IFERROR(VLOOKUP(C23,Merchants!$A$2:$D$41,4,FALSE),"Merchant not found")</f>
        <v/>
      </c>
      <c r="L23" s="7">
        <f>DATE(YEAR(D23),MONTH(D23),DAY(D23))</f>
        <v/>
      </c>
      <c r="M23" s="5">
        <f>IFERROR(HLOOKUP(F23,Fee_Tiers!$B$1:$E$2,2,FALSE),"Fee tier not found")</f>
        <v/>
      </c>
      <c r="N23" s="8">
        <f>SUMIFS(Daily_Merchant!$C$2:$C$444,Daily_Merchant!$A$2:$A$444,C23,Daily_Merchant!$B$2:$B$444,L23)</f>
        <v/>
      </c>
      <c r="O23" s="2">
        <f>IF(AND(N23&gt;5000,K23&lt;&gt;"East"),"High-Value Merchant Day","")</f>
        <v/>
      </c>
    </row>
    <row r="24">
      <c r="A24" s="2" t="inlineStr">
        <is>
          <t>TXN100022</t>
        </is>
      </c>
      <c r="B24" s="2" t="n">
        <v>110</v>
      </c>
      <c r="C24" s="2" t="n">
        <v>33</v>
      </c>
      <c r="D24" s="12" t="n">
        <v>46037.61319444444</v>
      </c>
      <c r="E24" s="8" t="n">
        <v>799</v>
      </c>
      <c r="F24" s="2" t="inlineStr">
        <is>
          <t>UPI</t>
        </is>
      </c>
      <c r="G24" s="2" t="inlineStr">
        <is>
          <t>captured</t>
        </is>
      </c>
      <c r="H24" s="2" t="n">
        <v>60</v>
      </c>
      <c r="I24" s="2">
        <f>IFERROR(VLOOKUP(C24,Merchants!$A$2:$D$41,2,FALSE),"Merchant not found")</f>
        <v/>
      </c>
      <c r="J24" s="2">
        <f>IFERROR(VLOOKUP(C24,Merchants!$A$2:$D$41,3,FALSE),"Merchant not found")</f>
        <v/>
      </c>
      <c r="K24" s="2">
        <f>IFERROR(VLOOKUP(C24,Merchants!$A$2:$D$41,4,FALSE),"Merchant not found")</f>
        <v/>
      </c>
      <c r="L24" s="7">
        <f>DATE(YEAR(D24),MONTH(D24),DAY(D24))</f>
        <v/>
      </c>
      <c r="M24" s="5">
        <f>IFERROR(HLOOKUP(F24,Fee_Tiers!$B$1:$E$2,2,FALSE),"Fee tier not found")</f>
        <v/>
      </c>
      <c r="N24" s="8">
        <f>SUMIFS(Daily_Merchant!$C$2:$C$444,Daily_Merchant!$A$2:$A$444,C24,Daily_Merchant!$B$2:$B$444,L24)</f>
        <v/>
      </c>
      <c r="O24" s="2">
        <f>IF(AND(N24&gt;5000,K24&lt;&gt;"East"),"High-Value Merchant Day","")</f>
        <v/>
      </c>
    </row>
    <row r="25">
      <c r="A25" s="2" t="inlineStr">
        <is>
          <t>TXN100023</t>
        </is>
      </c>
      <c r="B25" s="2" t="n">
        <v>338</v>
      </c>
      <c r="C25" s="2" t="n">
        <v>6</v>
      </c>
      <c r="D25" s="12" t="n">
        <v>46048.96527777778</v>
      </c>
      <c r="E25" s="8" t="n">
        <v>799</v>
      </c>
      <c r="F25" s="2" t="inlineStr">
        <is>
          <t>UPI</t>
        </is>
      </c>
      <c r="G25" s="2" t="inlineStr">
        <is>
          <t>chargeback</t>
        </is>
      </c>
      <c r="H25" s="2" t="n">
        <v>36</v>
      </c>
      <c r="I25" s="2">
        <f>IFERROR(VLOOKUP(C25,Merchants!$A$2:$D$41,2,FALSE),"Merchant not found")</f>
        <v/>
      </c>
      <c r="J25" s="2">
        <f>IFERROR(VLOOKUP(C25,Merchants!$A$2:$D$41,3,FALSE),"Merchant not found")</f>
        <v/>
      </c>
      <c r="K25" s="2">
        <f>IFERROR(VLOOKUP(C25,Merchants!$A$2:$D$41,4,FALSE),"Merchant not found")</f>
        <v/>
      </c>
      <c r="L25" s="7">
        <f>DATE(YEAR(D25),MONTH(D25),DAY(D25))</f>
        <v/>
      </c>
      <c r="M25" s="5">
        <f>IFERROR(HLOOKUP(F25,Fee_Tiers!$B$1:$E$2,2,FALSE),"Fee tier not found")</f>
        <v/>
      </c>
      <c r="N25" s="8">
        <f>SUMIFS(Daily_Merchant!$C$2:$C$444,Daily_Merchant!$A$2:$A$444,C25,Daily_Merchant!$B$2:$B$444,L25)</f>
        <v/>
      </c>
      <c r="O25" s="2">
        <f>IF(AND(N25&gt;5000,K25&lt;&gt;"East"),"High-Value Merchant Day","")</f>
        <v/>
      </c>
    </row>
    <row r="26">
      <c r="A26" s="2" t="inlineStr">
        <is>
          <t>TXN100024</t>
        </is>
      </c>
      <c r="B26" s="2" t="n">
        <v>318</v>
      </c>
      <c r="C26" s="2" t="n">
        <v>22</v>
      </c>
      <c r="D26" s="12" t="n">
        <v>46039.90277777778</v>
      </c>
      <c r="E26" s="8" t="n">
        <v>799</v>
      </c>
      <c r="F26" s="2" t="inlineStr">
        <is>
          <t>Wallet</t>
        </is>
      </c>
      <c r="G26" s="2" t="inlineStr">
        <is>
          <t>captured</t>
        </is>
      </c>
      <c r="H26" s="2" t="n">
        <v>11</v>
      </c>
      <c r="I26" s="2">
        <f>IFERROR(VLOOKUP(C26,Merchants!$A$2:$D$41,2,FALSE),"Merchant not found")</f>
        <v/>
      </c>
      <c r="J26" s="2">
        <f>IFERROR(VLOOKUP(C26,Merchants!$A$2:$D$41,3,FALSE),"Merchant not found")</f>
        <v/>
      </c>
      <c r="K26" s="2">
        <f>IFERROR(VLOOKUP(C26,Merchants!$A$2:$D$41,4,FALSE),"Merchant not found")</f>
        <v/>
      </c>
      <c r="L26" s="7">
        <f>DATE(YEAR(D26),MONTH(D26),DAY(D26))</f>
        <v/>
      </c>
      <c r="M26" s="5">
        <f>IFERROR(HLOOKUP(F26,Fee_Tiers!$B$1:$E$2,2,FALSE),"Fee tier not found")</f>
        <v/>
      </c>
      <c r="N26" s="8">
        <f>SUMIFS(Daily_Merchant!$C$2:$C$444,Daily_Merchant!$A$2:$A$444,C26,Daily_Merchant!$B$2:$B$444,L26)</f>
        <v/>
      </c>
      <c r="O26" s="2">
        <f>IF(AND(N26&gt;5000,K26&lt;&gt;"East"),"High-Value Merchant Day","")</f>
        <v/>
      </c>
    </row>
    <row r="27">
      <c r="A27" s="2" t="inlineStr">
        <is>
          <t>TXN100025</t>
        </is>
      </c>
      <c r="B27" s="2" t="n">
        <v>159</v>
      </c>
      <c r="C27" s="2" t="n">
        <v>15</v>
      </c>
      <c r="D27" s="12" t="n">
        <v>46049.32152777778</v>
      </c>
      <c r="E27" s="8" t="n">
        <v>799</v>
      </c>
      <c r="F27" s="2" t="inlineStr">
        <is>
          <t>UPI</t>
        </is>
      </c>
      <c r="G27" s="2" t="inlineStr">
        <is>
          <t>captured</t>
        </is>
      </c>
      <c r="H27" s="2" t="n">
        <v>25</v>
      </c>
      <c r="I27" s="2">
        <f>IFERROR(VLOOKUP(C27,Merchants!$A$2:$D$41,2,FALSE),"Merchant not found")</f>
        <v/>
      </c>
      <c r="J27" s="2">
        <f>IFERROR(VLOOKUP(C27,Merchants!$A$2:$D$41,3,FALSE),"Merchant not found")</f>
        <v/>
      </c>
      <c r="K27" s="2">
        <f>IFERROR(VLOOKUP(C27,Merchants!$A$2:$D$41,4,FALSE),"Merchant not found")</f>
        <v/>
      </c>
      <c r="L27" s="7">
        <f>DATE(YEAR(D27),MONTH(D27),DAY(D27))</f>
        <v/>
      </c>
      <c r="M27" s="5">
        <f>IFERROR(HLOOKUP(F27,Fee_Tiers!$B$1:$E$2,2,FALSE),"Fee tier not found")</f>
        <v/>
      </c>
      <c r="N27" s="8">
        <f>SUMIFS(Daily_Merchant!$C$2:$C$444,Daily_Merchant!$A$2:$A$444,C27,Daily_Merchant!$B$2:$B$444,L27)</f>
        <v/>
      </c>
      <c r="O27" s="2">
        <f>IF(AND(N27&gt;5000,K27&lt;&gt;"East"),"High-Value Merchant Day","")</f>
        <v/>
      </c>
    </row>
    <row r="28">
      <c r="A28" s="2" t="inlineStr">
        <is>
          <t>TXN100026</t>
        </is>
      </c>
      <c r="B28" s="2" t="n">
        <v>126</v>
      </c>
      <c r="C28" s="2" t="n">
        <v>31</v>
      </c>
      <c r="D28" s="12" t="n">
        <v>46027.00138888889</v>
      </c>
      <c r="E28" s="8" t="n">
        <v>49</v>
      </c>
      <c r="F28" s="2" t="inlineStr">
        <is>
          <t>Card</t>
        </is>
      </c>
      <c r="G28" s="2" t="inlineStr">
        <is>
          <t>captured</t>
        </is>
      </c>
      <c r="H28" s="2" t="n">
        <v>78</v>
      </c>
      <c r="I28" s="2">
        <f>IFERROR(VLOOKUP(C28,Merchants!$A$2:$D$41,2,FALSE),"Merchant not found")</f>
        <v/>
      </c>
      <c r="J28" s="2">
        <f>IFERROR(VLOOKUP(C28,Merchants!$A$2:$D$41,3,FALSE),"Merchant not found")</f>
        <v/>
      </c>
      <c r="K28" s="2">
        <f>IFERROR(VLOOKUP(C28,Merchants!$A$2:$D$41,4,FALSE),"Merchant not found")</f>
        <v/>
      </c>
      <c r="L28" s="7">
        <f>DATE(YEAR(D28),MONTH(D28),DAY(D28))</f>
        <v/>
      </c>
      <c r="M28" s="5">
        <f>IFERROR(HLOOKUP(F28,Fee_Tiers!$B$1:$E$2,2,FALSE),"Fee tier not found")</f>
        <v/>
      </c>
      <c r="N28" s="8">
        <f>SUMIFS(Daily_Merchant!$C$2:$C$444,Daily_Merchant!$A$2:$A$444,C28,Daily_Merchant!$B$2:$B$444,L28)</f>
        <v/>
      </c>
      <c r="O28" s="2">
        <f>IF(AND(N28&gt;5000,K28&lt;&gt;"East"),"High-Value Merchant Day","")</f>
        <v/>
      </c>
    </row>
    <row r="29">
      <c r="A29" s="2" t="inlineStr">
        <is>
          <t>TXN100027</t>
        </is>
      </c>
      <c r="B29" s="2" t="n">
        <v>213</v>
      </c>
      <c r="C29" s="2" t="n">
        <v>37</v>
      </c>
      <c r="D29" s="12" t="n">
        <v>46050.10347222222</v>
      </c>
      <c r="E29" s="8" t="n">
        <v>99</v>
      </c>
      <c r="F29" s="2" t="inlineStr">
        <is>
          <t>UPI</t>
        </is>
      </c>
      <c r="G29" s="2" t="inlineStr">
        <is>
          <t>captured</t>
        </is>
      </c>
      <c r="H29" s="2" t="n">
        <v>24</v>
      </c>
      <c r="I29" s="2">
        <f>IFERROR(VLOOKUP(C29,Merchants!$A$2:$D$41,2,FALSE),"Merchant not found")</f>
        <v/>
      </c>
      <c r="J29" s="2">
        <f>IFERROR(VLOOKUP(C29,Merchants!$A$2:$D$41,3,FALSE),"Merchant not found")</f>
        <v/>
      </c>
      <c r="K29" s="2">
        <f>IFERROR(VLOOKUP(C29,Merchants!$A$2:$D$41,4,FALSE),"Merchant not found")</f>
        <v/>
      </c>
      <c r="L29" s="7">
        <f>DATE(YEAR(D29),MONTH(D29),DAY(D29))</f>
        <v/>
      </c>
      <c r="M29" s="5">
        <f>IFERROR(HLOOKUP(F29,Fee_Tiers!$B$1:$E$2,2,FALSE),"Fee tier not found")</f>
        <v/>
      </c>
      <c r="N29" s="8">
        <f>SUMIFS(Daily_Merchant!$C$2:$C$444,Daily_Merchant!$A$2:$A$444,C29,Daily_Merchant!$B$2:$B$444,L29)</f>
        <v/>
      </c>
      <c r="O29" s="2">
        <f>IF(AND(N29&gt;5000,K29&lt;&gt;"East"),"High-Value Merchant Day","")</f>
        <v/>
      </c>
    </row>
    <row r="30">
      <c r="A30" s="2" t="inlineStr">
        <is>
          <t>TXN100028</t>
        </is>
      </c>
      <c r="B30" s="2" t="n">
        <v>254</v>
      </c>
      <c r="C30" s="2" t="n">
        <v>26</v>
      </c>
      <c r="D30" s="12" t="n">
        <v>46045.93333333333</v>
      </c>
      <c r="E30" s="8" t="n">
        <v>99</v>
      </c>
      <c r="F30" s="2" t="inlineStr">
        <is>
          <t>Wallet</t>
        </is>
      </c>
      <c r="G30" s="2" t="inlineStr">
        <is>
          <t>captured</t>
        </is>
      </c>
      <c r="H30" s="2" t="n">
        <v>31</v>
      </c>
      <c r="I30" s="2">
        <f>IFERROR(VLOOKUP(C30,Merchants!$A$2:$D$41,2,FALSE),"Merchant not found")</f>
        <v/>
      </c>
      <c r="J30" s="2">
        <f>IFERROR(VLOOKUP(C30,Merchants!$A$2:$D$41,3,FALSE),"Merchant not found")</f>
        <v/>
      </c>
      <c r="K30" s="2">
        <f>IFERROR(VLOOKUP(C30,Merchants!$A$2:$D$41,4,FALSE),"Merchant not found")</f>
        <v/>
      </c>
      <c r="L30" s="7">
        <f>DATE(YEAR(D30),MONTH(D30),DAY(D30))</f>
        <v/>
      </c>
      <c r="M30" s="5">
        <f>IFERROR(HLOOKUP(F30,Fee_Tiers!$B$1:$E$2,2,FALSE),"Fee tier not found")</f>
        <v/>
      </c>
      <c r="N30" s="8">
        <f>SUMIFS(Daily_Merchant!$C$2:$C$444,Daily_Merchant!$A$2:$A$444,C30,Daily_Merchant!$B$2:$B$444,L30)</f>
        <v/>
      </c>
      <c r="O30" s="2">
        <f>IF(AND(N30&gt;5000,K30&lt;&gt;"East"),"High-Value Merchant Day","")</f>
        <v/>
      </c>
    </row>
    <row r="31">
      <c r="A31" s="2" t="inlineStr">
        <is>
          <t>TXN100029</t>
        </is>
      </c>
      <c r="B31" s="2" t="n">
        <v>3</v>
      </c>
      <c r="C31" s="2" t="n">
        <v>7</v>
      </c>
      <c r="D31" s="12" t="n">
        <v>46027.86388888889</v>
      </c>
      <c r="E31" s="8" t="n">
        <v>1499</v>
      </c>
      <c r="F31" s="2" t="inlineStr">
        <is>
          <t>UPI</t>
        </is>
      </c>
      <c r="G31" s="2" t="inlineStr">
        <is>
          <t>captured</t>
        </is>
      </c>
      <c r="H31" s="2" t="n">
        <v>99</v>
      </c>
      <c r="I31" s="2">
        <f>IFERROR(VLOOKUP(C31,Merchants!$A$2:$D$41,2,FALSE),"Merchant not found")</f>
        <v/>
      </c>
      <c r="J31" s="2">
        <f>IFERROR(VLOOKUP(C31,Merchants!$A$2:$D$41,3,FALSE),"Merchant not found")</f>
        <v/>
      </c>
      <c r="K31" s="2">
        <f>IFERROR(VLOOKUP(C31,Merchants!$A$2:$D$41,4,FALSE),"Merchant not found")</f>
        <v/>
      </c>
      <c r="L31" s="7">
        <f>DATE(YEAR(D31),MONTH(D31),DAY(D31))</f>
        <v/>
      </c>
      <c r="M31" s="5">
        <f>IFERROR(HLOOKUP(F31,Fee_Tiers!$B$1:$E$2,2,FALSE),"Fee tier not found")</f>
        <v/>
      </c>
      <c r="N31" s="8">
        <f>SUMIFS(Daily_Merchant!$C$2:$C$444,Daily_Merchant!$A$2:$A$444,C31,Daily_Merchant!$B$2:$B$444,L31)</f>
        <v/>
      </c>
      <c r="O31" s="2">
        <f>IF(AND(N31&gt;5000,K31&lt;&gt;"East"),"High-Value Merchant Day","")</f>
        <v/>
      </c>
    </row>
    <row r="32">
      <c r="A32" s="2" t="inlineStr">
        <is>
          <t>TXN100030</t>
        </is>
      </c>
      <c r="B32" s="2" t="n">
        <v>266</v>
      </c>
      <c r="C32" s="2" t="n">
        <v>30</v>
      </c>
      <c r="D32" s="12" t="n">
        <v>46036.29930555556</v>
      </c>
      <c r="E32" s="8" t="n">
        <v>499</v>
      </c>
      <c r="F32" s="2" t="inlineStr">
        <is>
          <t>Card</t>
        </is>
      </c>
      <c r="G32" s="2" t="inlineStr">
        <is>
          <t>captured</t>
        </is>
      </c>
      <c r="H32" s="2" t="n">
        <v>6</v>
      </c>
      <c r="I32" s="2">
        <f>IFERROR(VLOOKUP(C32,Merchants!$A$2:$D$41,2,FALSE),"Merchant not found")</f>
        <v/>
      </c>
      <c r="J32" s="2">
        <f>IFERROR(VLOOKUP(C32,Merchants!$A$2:$D$41,3,FALSE),"Merchant not found")</f>
        <v/>
      </c>
      <c r="K32" s="2">
        <f>IFERROR(VLOOKUP(C32,Merchants!$A$2:$D$41,4,FALSE),"Merchant not found")</f>
        <v/>
      </c>
      <c r="L32" s="7">
        <f>DATE(YEAR(D32),MONTH(D32),DAY(D32))</f>
        <v/>
      </c>
      <c r="M32" s="5">
        <f>IFERROR(HLOOKUP(F32,Fee_Tiers!$B$1:$E$2,2,FALSE),"Fee tier not found")</f>
        <v/>
      </c>
      <c r="N32" s="8">
        <f>SUMIFS(Daily_Merchant!$C$2:$C$444,Daily_Merchant!$A$2:$A$444,C32,Daily_Merchant!$B$2:$B$444,L32)</f>
        <v/>
      </c>
      <c r="O32" s="2">
        <f>IF(AND(N32&gt;5000,K32&lt;&gt;"East"),"High-Value Merchant Day","")</f>
        <v/>
      </c>
    </row>
    <row r="33">
      <c r="A33" s="2" t="inlineStr">
        <is>
          <t>TXN100031</t>
        </is>
      </c>
      <c r="B33" s="2" t="n">
        <v>63</v>
      </c>
      <c r="C33" s="2" t="n">
        <v>30</v>
      </c>
      <c r="D33" s="12" t="n">
        <v>46040.33194444444</v>
      </c>
      <c r="E33" s="8" t="n">
        <v>799</v>
      </c>
      <c r="F33" s="2" t="inlineStr">
        <is>
          <t>UPI</t>
        </is>
      </c>
      <c r="G33" s="2" t="inlineStr">
        <is>
          <t>captured</t>
        </is>
      </c>
      <c r="H33" s="2" t="n">
        <v>17</v>
      </c>
      <c r="I33" s="2">
        <f>IFERROR(VLOOKUP(C33,Merchants!$A$2:$D$41,2,FALSE),"Merchant not found")</f>
        <v/>
      </c>
      <c r="J33" s="2">
        <f>IFERROR(VLOOKUP(C33,Merchants!$A$2:$D$41,3,FALSE),"Merchant not found")</f>
        <v/>
      </c>
      <c r="K33" s="2">
        <f>IFERROR(VLOOKUP(C33,Merchants!$A$2:$D$41,4,FALSE),"Merchant not found")</f>
        <v/>
      </c>
      <c r="L33" s="7">
        <f>DATE(YEAR(D33),MONTH(D33),DAY(D33))</f>
        <v/>
      </c>
      <c r="M33" s="5">
        <f>IFERROR(HLOOKUP(F33,Fee_Tiers!$B$1:$E$2,2,FALSE),"Fee tier not found")</f>
        <v/>
      </c>
      <c r="N33" s="8">
        <f>SUMIFS(Daily_Merchant!$C$2:$C$444,Daily_Merchant!$A$2:$A$444,C33,Daily_Merchant!$B$2:$B$444,L33)</f>
        <v/>
      </c>
      <c r="O33" s="2">
        <f>IF(AND(N33&gt;5000,K33&lt;&gt;"East"),"High-Value Merchant Day","")</f>
        <v/>
      </c>
    </row>
    <row r="34">
      <c r="A34" s="2" t="inlineStr">
        <is>
          <t>TXN100032</t>
        </is>
      </c>
      <c r="B34" s="2" t="n">
        <v>272</v>
      </c>
      <c r="C34" s="2" t="n">
        <v>36</v>
      </c>
      <c r="D34" s="12" t="n">
        <v>46048.6125</v>
      </c>
      <c r="E34" s="8" t="n">
        <v>149</v>
      </c>
      <c r="F34" s="2" t="inlineStr">
        <is>
          <t>UPI</t>
        </is>
      </c>
      <c r="G34" s="2" t="inlineStr">
        <is>
          <t>captured</t>
        </is>
      </c>
      <c r="H34" s="2" t="n">
        <v>76</v>
      </c>
      <c r="I34" s="2">
        <f>IFERROR(VLOOKUP(C34,Merchants!$A$2:$D$41,2,FALSE),"Merchant not found")</f>
        <v/>
      </c>
      <c r="J34" s="2">
        <f>IFERROR(VLOOKUP(C34,Merchants!$A$2:$D$41,3,FALSE),"Merchant not found")</f>
        <v/>
      </c>
      <c r="K34" s="2">
        <f>IFERROR(VLOOKUP(C34,Merchants!$A$2:$D$41,4,FALSE),"Merchant not found")</f>
        <v/>
      </c>
      <c r="L34" s="7">
        <f>DATE(YEAR(D34),MONTH(D34),DAY(D34))</f>
        <v/>
      </c>
      <c r="M34" s="5">
        <f>IFERROR(HLOOKUP(F34,Fee_Tiers!$B$1:$E$2,2,FALSE),"Fee tier not found")</f>
        <v/>
      </c>
      <c r="N34" s="8">
        <f>SUMIFS(Daily_Merchant!$C$2:$C$444,Daily_Merchant!$A$2:$A$444,C34,Daily_Merchant!$B$2:$B$444,L34)</f>
        <v/>
      </c>
      <c r="O34" s="2">
        <f>IF(AND(N34&gt;5000,K34&lt;&gt;"East"),"High-Value Merchant Day","")</f>
        <v/>
      </c>
    </row>
    <row r="35">
      <c r="A35" s="2" t="inlineStr">
        <is>
          <t>TXN100033</t>
        </is>
      </c>
      <c r="B35" s="2" t="n">
        <v>259</v>
      </c>
      <c r="C35" s="2" t="n">
        <v>28</v>
      </c>
      <c r="D35" s="12" t="n">
        <v>46033.61041666667</v>
      </c>
      <c r="E35" s="8" t="n">
        <v>49</v>
      </c>
      <c r="F35" s="2" t="inlineStr">
        <is>
          <t>Wallet</t>
        </is>
      </c>
      <c r="G35" s="2" t="inlineStr">
        <is>
          <t>captured</t>
        </is>
      </c>
      <c r="H35" s="2" t="n">
        <v>70</v>
      </c>
      <c r="I35" s="2">
        <f>IFERROR(VLOOKUP(C35,Merchants!$A$2:$D$41,2,FALSE),"Merchant not found")</f>
        <v/>
      </c>
      <c r="J35" s="2">
        <f>IFERROR(VLOOKUP(C35,Merchants!$A$2:$D$41,3,FALSE),"Merchant not found")</f>
        <v/>
      </c>
      <c r="K35" s="2">
        <f>IFERROR(VLOOKUP(C35,Merchants!$A$2:$D$41,4,FALSE),"Merchant not found")</f>
        <v/>
      </c>
      <c r="L35" s="7">
        <f>DATE(YEAR(D35),MONTH(D35),DAY(D35))</f>
        <v/>
      </c>
      <c r="M35" s="5">
        <f>IFERROR(HLOOKUP(F35,Fee_Tiers!$B$1:$E$2,2,FALSE),"Fee tier not found")</f>
        <v/>
      </c>
      <c r="N35" s="8">
        <f>SUMIFS(Daily_Merchant!$C$2:$C$444,Daily_Merchant!$A$2:$A$444,C35,Daily_Merchant!$B$2:$B$444,L35)</f>
        <v/>
      </c>
      <c r="O35" s="2">
        <f>IF(AND(N35&gt;5000,K35&lt;&gt;"East"),"High-Value Merchant Day","")</f>
        <v/>
      </c>
    </row>
    <row r="36">
      <c r="A36" s="2" t="inlineStr">
        <is>
          <t>TXN100034</t>
        </is>
      </c>
      <c r="B36" s="2" t="n">
        <v>244</v>
      </c>
      <c r="C36" s="2" t="n">
        <v>29</v>
      </c>
      <c r="D36" s="12" t="n">
        <v>46037.24097222222</v>
      </c>
      <c r="E36" s="8" t="n">
        <v>299</v>
      </c>
      <c r="F36" s="2" t="inlineStr">
        <is>
          <t>Netbanking</t>
        </is>
      </c>
      <c r="G36" s="2" t="inlineStr">
        <is>
          <t>captured</t>
        </is>
      </c>
      <c r="H36" s="2" t="n">
        <v>33</v>
      </c>
      <c r="I36" s="2">
        <f>IFERROR(VLOOKUP(C36,Merchants!$A$2:$D$41,2,FALSE),"Merchant not found")</f>
        <v/>
      </c>
      <c r="J36" s="2">
        <f>IFERROR(VLOOKUP(C36,Merchants!$A$2:$D$41,3,FALSE),"Merchant not found")</f>
        <v/>
      </c>
      <c r="K36" s="2">
        <f>IFERROR(VLOOKUP(C36,Merchants!$A$2:$D$41,4,FALSE),"Merchant not found")</f>
        <v/>
      </c>
      <c r="L36" s="7">
        <f>DATE(YEAR(D36),MONTH(D36),DAY(D36))</f>
        <v/>
      </c>
      <c r="M36" s="5">
        <f>IFERROR(HLOOKUP(F36,Fee_Tiers!$B$1:$E$2,2,FALSE),"Fee tier not found")</f>
        <v/>
      </c>
      <c r="N36" s="8">
        <f>SUMIFS(Daily_Merchant!$C$2:$C$444,Daily_Merchant!$A$2:$A$444,C36,Daily_Merchant!$B$2:$B$444,L36)</f>
        <v/>
      </c>
      <c r="O36" s="2">
        <f>IF(AND(N36&gt;5000,K36&lt;&gt;"East"),"High-Value Merchant Day","")</f>
        <v/>
      </c>
    </row>
    <row r="37">
      <c r="A37" s="2" t="inlineStr">
        <is>
          <t>TXN100035</t>
        </is>
      </c>
      <c r="B37" s="2" t="n">
        <v>327</v>
      </c>
      <c r="C37" s="2" t="n">
        <v>18</v>
      </c>
      <c r="D37" s="12" t="n">
        <v>46047.32847222222</v>
      </c>
      <c r="E37" s="8" t="n">
        <v>149</v>
      </c>
      <c r="F37" s="2" t="inlineStr">
        <is>
          <t>Card</t>
        </is>
      </c>
      <c r="G37" s="2" t="inlineStr">
        <is>
          <t>captured</t>
        </is>
      </c>
      <c r="H37" s="2" t="n">
        <v>98</v>
      </c>
      <c r="I37" s="2">
        <f>IFERROR(VLOOKUP(C37,Merchants!$A$2:$D$41,2,FALSE),"Merchant not found")</f>
        <v/>
      </c>
      <c r="J37" s="2">
        <f>IFERROR(VLOOKUP(C37,Merchants!$A$2:$D$41,3,FALSE),"Merchant not found")</f>
        <v/>
      </c>
      <c r="K37" s="2">
        <f>IFERROR(VLOOKUP(C37,Merchants!$A$2:$D$41,4,FALSE),"Merchant not found")</f>
        <v/>
      </c>
      <c r="L37" s="7">
        <f>DATE(YEAR(D37),MONTH(D37),DAY(D37))</f>
        <v/>
      </c>
      <c r="M37" s="5">
        <f>IFERROR(HLOOKUP(F37,Fee_Tiers!$B$1:$E$2,2,FALSE),"Fee tier not found")</f>
        <v/>
      </c>
      <c r="N37" s="8">
        <f>SUMIFS(Daily_Merchant!$C$2:$C$444,Daily_Merchant!$A$2:$A$444,C37,Daily_Merchant!$B$2:$B$444,L37)</f>
        <v/>
      </c>
      <c r="O37" s="2">
        <f>IF(AND(N37&gt;5000,K37&lt;&gt;"East"),"High-Value Merchant Day","")</f>
        <v/>
      </c>
    </row>
    <row r="38">
      <c r="A38" s="2" t="inlineStr">
        <is>
          <t>TXN100036</t>
        </is>
      </c>
      <c r="B38" s="2" t="n">
        <v>321</v>
      </c>
      <c r="C38" s="2" t="n">
        <v>16</v>
      </c>
      <c r="D38" s="12" t="n">
        <v>46047.68819444445</v>
      </c>
      <c r="E38" s="8" t="n">
        <v>49</v>
      </c>
      <c r="F38" s="2" t="inlineStr">
        <is>
          <t>UPI</t>
        </is>
      </c>
      <c r="G38" s="2" t="inlineStr">
        <is>
          <t>captured</t>
        </is>
      </c>
      <c r="H38" s="2" t="n">
        <v>35</v>
      </c>
      <c r="I38" s="2">
        <f>IFERROR(VLOOKUP(C38,Merchants!$A$2:$D$41,2,FALSE),"Merchant not found")</f>
        <v/>
      </c>
      <c r="J38" s="2">
        <f>IFERROR(VLOOKUP(C38,Merchants!$A$2:$D$41,3,FALSE),"Merchant not found")</f>
        <v/>
      </c>
      <c r="K38" s="2">
        <f>IFERROR(VLOOKUP(C38,Merchants!$A$2:$D$41,4,FALSE),"Merchant not found")</f>
        <v/>
      </c>
      <c r="L38" s="7">
        <f>DATE(YEAR(D38),MONTH(D38),DAY(D38))</f>
        <v/>
      </c>
      <c r="M38" s="5">
        <f>IFERROR(HLOOKUP(F38,Fee_Tiers!$B$1:$E$2,2,FALSE),"Fee tier not found")</f>
        <v/>
      </c>
      <c r="N38" s="8">
        <f>SUMIFS(Daily_Merchant!$C$2:$C$444,Daily_Merchant!$A$2:$A$444,C38,Daily_Merchant!$B$2:$B$444,L38)</f>
        <v/>
      </c>
      <c r="O38" s="2">
        <f>IF(AND(N38&gt;5000,K38&lt;&gt;"East"),"High-Value Merchant Day","")</f>
        <v/>
      </c>
    </row>
    <row r="39">
      <c r="A39" s="2" t="inlineStr">
        <is>
          <t>TXN100037</t>
        </is>
      </c>
      <c r="B39" s="2" t="n">
        <v>147</v>
      </c>
      <c r="C39" s="2" t="n">
        <v>16</v>
      </c>
      <c r="D39" s="12" t="n">
        <v>46037.11458333334</v>
      </c>
      <c r="E39" s="8" t="n">
        <v>2999</v>
      </c>
      <c r="F39" s="2" t="inlineStr">
        <is>
          <t>Card</t>
        </is>
      </c>
      <c r="G39" s="2" t="inlineStr">
        <is>
          <t>captured</t>
        </is>
      </c>
      <c r="H39" s="2" t="n">
        <v>34</v>
      </c>
      <c r="I39" s="2">
        <f>IFERROR(VLOOKUP(C39,Merchants!$A$2:$D$41,2,FALSE),"Merchant not found")</f>
        <v/>
      </c>
      <c r="J39" s="2">
        <f>IFERROR(VLOOKUP(C39,Merchants!$A$2:$D$41,3,FALSE),"Merchant not found")</f>
        <v/>
      </c>
      <c r="K39" s="2">
        <f>IFERROR(VLOOKUP(C39,Merchants!$A$2:$D$41,4,FALSE),"Merchant not found")</f>
        <v/>
      </c>
      <c r="L39" s="7">
        <f>DATE(YEAR(D39),MONTH(D39),DAY(D39))</f>
        <v/>
      </c>
      <c r="M39" s="5">
        <f>IFERROR(HLOOKUP(F39,Fee_Tiers!$B$1:$E$2,2,FALSE),"Fee tier not found")</f>
        <v/>
      </c>
      <c r="N39" s="8">
        <f>SUMIFS(Daily_Merchant!$C$2:$C$444,Daily_Merchant!$A$2:$A$444,C39,Daily_Merchant!$B$2:$B$444,L39)</f>
        <v/>
      </c>
      <c r="O39" s="2">
        <f>IF(AND(N39&gt;5000,K39&lt;&gt;"East"),"High-Value Merchant Day","")</f>
        <v/>
      </c>
    </row>
    <row r="40">
      <c r="A40" s="2" t="inlineStr">
        <is>
          <t>TXN100038</t>
        </is>
      </c>
      <c r="B40" s="2" t="n">
        <v>277</v>
      </c>
      <c r="C40" s="2" t="n">
        <v>6</v>
      </c>
      <c r="D40" s="12" t="n">
        <v>46033.45625</v>
      </c>
      <c r="E40" s="8" t="n">
        <v>1499</v>
      </c>
      <c r="F40" s="2" t="inlineStr">
        <is>
          <t>Card</t>
        </is>
      </c>
      <c r="G40" s="2" t="inlineStr">
        <is>
          <t>captured</t>
        </is>
      </c>
      <c r="H40" s="2" t="n">
        <v>17</v>
      </c>
      <c r="I40" s="2">
        <f>IFERROR(VLOOKUP(C40,Merchants!$A$2:$D$41,2,FALSE),"Merchant not found")</f>
        <v/>
      </c>
      <c r="J40" s="2">
        <f>IFERROR(VLOOKUP(C40,Merchants!$A$2:$D$41,3,FALSE),"Merchant not found")</f>
        <v/>
      </c>
      <c r="K40" s="2">
        <f>IFERROR(VLOOKUP(C40,Merchants!$A$2:$D$41,4,FALSE),"Merchant not found")</f>
        <v/>
      </c>
      <c r="L40" s="7">
        <f>DATE(YEAR(D40),MONTH(D40),DAY(D40))</f>
        <v/>
      </c>
      <c r="M40" s="5">
        <f>IFERROR(HLOOKUP(F40,Fee_Tiers!$B$1:$E$2,2,FALSE),"Fee tier not found")</f>
        <v/>
      </c>
      <c r="N40" s="8">
        <f>SUMIFS(Daily_Merchant!$C$2:$C$444,Daily_Merchant!$A$2:$A$444,C40,Daily_Merchant!$B$2:$B$444,L40)</f>
        <v/>
      </c>
      <c r="O40" s="2">
        <f>IF(AND(N40&gt;5000,K40&lt;&gt;"East"),"High-Value Merchant Day","")</f>
        <v/>
      </c>
    </row>
    <row r="41">
      <c r="A41" s="2" t="inlineStr">
        <is>
          <t>TXN100039</t>
        </is>
      </c>
      <c r="B41" s="2" t="n">
        <v>79</v>
      </c>
      <c r="C41" s="2" t="n">
        <v>14</v>
      </c>
      <c r="D41" s="12" t="n">
        <v>46027.30833333333</v>
      </c>
      <c r="E41" s="8" t="n">
        <v>1499</v>
      </c>
      <c r="F41" s="2" t="inlineStr">
        <is>
          <t>UPI</t>
        </is>
      </c>
      <c r="G41" s="2" t="inlineStr">
        <is>
          <t>captured</t>
        </is>
      </c>
      <c r="H41" s="2" t="n">
        <v>8</v>
      </c>
      <c r="I41" s="2">
        <f>IFERROR(VLOOKUP(C41,Merchants!$A$2:$D$41,2,FALSE),"Merchant not found")</f>
        <v/>
      </c>
      <c r="J41" s="2">
        <f>IFERROR(VLOOKUP(C41,Merchants!$A$2:$D$41,3,FALSE),"Merchant not found")</f>
        <v/>
      </c>
      <c r="K41" s="2">
        <f>IFERROR(VLOOKUP(C41,Merchants!$A$2:$D$41,4,FALSE),"Merchant not found")</f>
        <v/>
      </c>
      <c r="L41" s="7">
        <f>DATE(YEAR(D41),MONTH(D41),DAY(D41))</f>
        <v/>
      </c>
      <c r="M41" s="5">
        <f>IFERROR(HLOOKUP(F41,Fee_Tiers!$B$1:$E$2,2,FALSE),"Fee tier not found")</f>
        <v/>
      </c>
      <c r="N41" s="8">
        <f>SUMIFS(Daily_Merchant!$C$2:$C$444,Daily_Merchant!$A$2:$A$444,C41,Daily_Merchant!$B$2:$B$444,L41)</f>
        <v/>
      </c>
      <c r="O41" s="2">
        <f>IF(AND(N41&gt;5000,K41&lt;&gt;"East"),"High-Value Merchant Day","")</f>
        <v/>
      </c>
    </row>
    <row r="42">
      <c r="A42" s="2" t="inlineStr">
        <is>
          <t>TXN100040</t>
        </is>
      </c>
      <c r="B42" s="2" t="n">
        <v>278</v>
      </c>
      <c r="C42" s="2" t="n">
        <v>30</v>
      </c>
      <c r="D42" s="12" t="n">
        <v>46036.55625</v>
      </c>
      <c r="E42" s="8" t="n">
        <v>1499</v>
      </c>
      <c r="F42" s="2" t="inlineStr">
        <is>
          <t>UPI</t>
        </is>
      </c>
      <c r="G42" s="2" t="inlineStr">
        <is>
          <t>captured</t>
        </is>
      </c>
      <c r="H42" s="2" t="n">
        <v>53</v>
      </c>
      <c r="I42" s="2">
        <f>IFERROR(VLOOKUP(C42,Merchants!$A$2:$D$41,2,FALSE),"Merchant not found")</f>
        <v/>
      </c>
      <c r="J42" s="2">
        <f>IFERROR(VLOOKUP(C42,Merchants!$A$2:$D$41,3,FALSE),"Merchant not found")</f>
        <v/>
      </c>
      <c r="K42" s="2">
        <f>IFERROR(VLOOKUP(C42,Merchants!$A$2:$D$41,4,FALSE),"Merchant not found")</f>
        <v/>
      </c>
      <c r="L42" s="7">
        <f>DATE(YEAR(D42),MONTH(D42),DAY(D42))</f>
        <v/>
      </c>
      <c r="M42" s="5">
        <f>IFERROR(HLOOKUP(F42,Fee_Tiers!$B$1:$E$2,2,FALSE),"Fee tier not found")</f>
        <v/>
      </c>
      <c r="N42" s="8">
        <f>SUMIFS(Daily_Merchant!$C$2:$C$444,Daily_Merchant!$A$2:$A$444,C42,Daily_Merchant!$B$2:$B$444,L42)</f>
        <v/>
      </c>
      <c r="O42" s="2">
        <f>IF(AND(N42&gt;5000,K42&lt;&gt;"East"),"High-Value Merchant Day","")</f>
        <v/>
      </c>
    </row>
    <row r="43">
      <c r="A43" s="2" t="inlineStr">
        <is>
          <t>TXN100041</t>
        </is>
      </c>
      <c r="B43" s="2" t="n">
        <v>216</v>
      </c>
      <c r="C43" s="2" t="n">
        <v>25</v>
      </c>
      <c r="D43" s="12" t="n">
        <v>46024.28680555556</v>
      </c>
      <c r="E43" s="8" t="n">
        <v>99</v>
      </c>
      <c r="F43" s="2" t="inlineStr">
        <is>
          <t>UPI</t>
        </is>
      </c>
      <c r="G43" s="2" t="inlineStr">
        <is>
          <t>captured</t>
        </is>
      </c>
      <c r="H43" s="2" t="n">
        <v>98</v>
      </c>
      <c r="I43" s="2">
        <f>IFERROR(VLOOKUP(C43,Merchants!$A$2:$D$41,2,FALSE),"Merchant not found")</f>
        <v/>
      </c>
      <c r="J43" s="2">
        <f>IFERROR(VLOOKUP(C43,Merchants!$A$2:$D$41,3,FALSE),"Merchant not found")</f>
        <v/>
      </c>
      <c r="K43" s="2">
        <f>IFERROR(VLOOKUP(C43,Merchants!$A$2:$D$41,4,FALSE),"Merchant not found")</f>
        <v/>
      </c>
      <c r="L43" s="7">
        <f>DATE(YEAR(D43),MONTH(D43),DAY(D43))</f>
        <v/>
      </c>
      <c r="M43" s="5">
        <f>IFERROR(HLOOKUP(F43,Fee_Tiers!$B$1:$E$2,2,FALSE),"Fee tier not found")</f>
        <v/>
      </c>
      <c r="N43" s="8">
        <f>SUMIFS(Daily_Merchant!$C$2:$C$444,Daily_Merchant!$A$2:$A$444,C43,Daily_Merchant!$B$2:$B$444,L43)</f>
        <v/>
      </c>
      <c r="O43" s="2">
        <f>IF(AND(N43&gt;5000,K43&lt;&gt;"East"),"High-Value Merchant Day","")</f>
        <v/>
      </c>
    </row>
    <row r="44">
      <c r="A44" s="2" t="inlineStr">
        <is>
          <t>TXN100042</t>
        </is>
      </c>
      <c r="B44" s="2" t="n">
        <v>295</v>
      </c>
      <c r="C44" s="2" t="n">
        <v>25</v>
      </c>
      <c r="D44" s="12" t="n">
        <v>46041.91736111111</v>
      </c>
      <c r="E44" s="8" t="n">
        <v>1499</v>
      </c>
      <c r="F44" s="2" t="inlineStr">
        <is>
          <t>UPI</t>
        </is>
      </c>
      <c r="G44" s="2" t="inlineStr">
        <is>
          <t>captured</t>
        </is>
      </c>
      <c r="H44" s="2" t="n">
        <v>61</v>
      </c>
      <c r="I44" s="2">
        <f>IFERROR(VLOOKUP(C44,Merchants!$A$2:$D$41,2,FALSE),"Merchant not found")</f>
        <v/>
      </c>
      <c r="J44" s="2">
        <f>IFERROR(VLOOKUP(C44,Merchants!$A$2:$D$41,3,FALSE),"Merchant not found")</f>
        <v/>
      </c>
      <c r="K44" s="2">
        <f>IFERROR(VLOOKUP(C44,Merchants!$A$2:$D$41,4,FALSE),"Merchant not found")</f>
        <v/>
      </c>
      <c r="L44" s="7">
        <f>DATE(YEAR(D44),MONTH(D44),DAY(D44))</f>
        <v/>
      </c>
      <c r="M44" s="5">
        <f>IFERROR(HLOOKUP(F44,Fee_Tiers!$B$1:$E$2,2,FALSE),"Fee tier not found")</f>
        <v/>
      </c>
      <c r="N44" s="8">
        <f>SUMIFS(Daily_Merchant!$C$2:$C$444,Daily_Merchant!$A$2:$A$444,C44,Daily_Merchant!$B$2:$B$444,L44)</f>
        <v/>
      </c>
      <c r="O44" s="2">
        <f>IF(AND(N44&gt;5000,K44&lt;&gt;"East"),"High-Value Merchant Day","")</f>
        <v/>
      </c>
    </row>
    <row r="45">
      <c r="A45" s="2" t="inlineStr">
        <is>
          <t>TXN100043</t>
        </is>
      </c>
      <c r="B45" s="2" t="n">
        <v>200</v>
      </c>
      <c r="C45" s="2" t="n">
        <v>27</v>
      </c>
      <c r="D45" s="12" t="n">
        <v>46023.47152777778</v>
      </c>
      <c r="E45" s="8" t="n">
        <v>149</v>
      </c>
      <c r="F45" s="2" t="inlineStr">
        <is>
          <t>UPI</t>
        </is>
      </c>
      <c r="G45" s="2" t="inlineStr">
        <is>
          <t>captured</t>
        </is>
      </c>
      <c r="H45" s="2" t="n">
        <v>68</v>
      </c>
      <c r="I45" s="2">
        <f>IFERROR(VLOOKUP(C45,Merchants!$A$2:$D$41,2,FALSE),"Merchant not found")</f>
        <v/>
      </c>
      <c r="J45" s="2">
        <f>IFERROR(VLOOKUP(C45,Merchants!$A$2:$D$41,3,FALSE),"Merchant not found")</f>
        <v/>
      </c>
      <c r="K45" s="2">
        <f>IFERROR(VLOOKUP(C45,Merchants!$A$2:$D$41,4,FALSE),"Merchant not found")</f>
        <v/>
      </c>
      <c r="L45" s="7">
        <f>DATE(YEAR(D45),MONTH(D45),DAY(D45))</f>
        <v/>
      </c>
      <c r="M45" s="5">
        <f>IFERROR(HLOOKUP(F45,Fee_Tiers!$B$1:$E$2,2,FALSE),"Fee tier not found")</f>
        <v/>
      </c>
      <c r="N45" s="8">
        <f>SUMIFS(Daily_Merchant!$C$2:$C$444,Daily_Merchant!$A$2:$A$444,C45,Daily_Merchant!$B$2:$B$444,L45)</f>
        <v/>
      </c>
      <c r="O45" s="2">
        <f>IF(AND(N45&gt;5000,K45&lt;&gt;"East"),"High-Value Merchant Day","")</f>
        <v/>
      </c>
    </row>
    <row r="46">
      <c r="A46" s="2" t="inlineStr">
        <is>
          <t>TXN100044</t>
        </is>
      </c>
      <c r="B46" s="2" t="n">
        <v>309</v>
      </c>
      <c r="C46" s="2" t="n">
        <v>15</v>
      </c>
      <c r="D46" s="12" t="n">
        <v>46046.98194444444</v>
      </c>
      <c r="E46" s="8" t="n">
        <v>99</v>
      </c>
      <c r="F46" s="2" t="inlineStr">
        <is>
          <t>Netbanking</t>
        </is>
      </c>
      <c r="G46" s="2" t="inlineStr">
        <is>
          <t>captured</t>
        </is>
      </c>
      <c r="H46" s="2" t="n">
        <v>62</v>
      </c>
      <c r="I46" s="2">
        <f>IFERROR(VLOOKUP(C46,Merchants!$A$2:$D$41,2,FALSE),"Merchant not found")</f>
        <v/>
      </c>
      <c r="J46" s="2">
        <f>IFERROR(VLOOKUP(C46,Merchants!$A$2:$D$41,3,FALSE),"Merchant not found")</f>
        <v/>
      </c>
      <c r="K46" s="2">
        <f>IFERROR(VLOOKUP(C46,Merchants!$A$2:$D$41,4,FALSE),"Merchant not found")</f>
        <v/>
      </c>
      <c r="L46" s="7">
        <f>DATE(YEAR(D46),MONTH(D46),DAY(D46))</f>
        <v/>
      </c>
      <c r="M46" s="5">
        <f>IFERROR(HLOOKUP(F46,Fee_Tiers!$B$1:$E$2,2,FALSE),"Fee tier not found")</f>
        <v/>
      </c>
      <c r="N46" s="8">
        <f>SUMIFS(Daily_Merchant!$C$2:$C$444,Daily_Merchant!$A$2:$A$444,C46,Daily_Merchant!$B$2:$B$444,L46)</f>
        <v/>
      </c>
      <c r="O46" s="2">
        <f>IF(AND(N46&gt;5000,K46&lt;&gt;"East"),"High-Value Merchant Day","")</f>
        <v/>
      </c>
    </row>
    <row r="47">
      <c r="A47" s="2" t="inlineStr">
        <is>
          <t>TXN100045</t>
        </is>
      </c>
      <c r="B47" s="2" t="n">
        <v>249</v>
      </c>
      <c r="C47" s="2" t="n">
        <v>2</v>
      </c>
      <c r="D47" s="12" t="n">
        <v>46030.35208333333</v>
      </c>
      <c r="E47" s="8" t="n">
        <v>299</v>
      </c>
      <c r="F47" s="2" t="inlineStr">
        <is>
          <t>Wallet</t>
        </is>
      </c>
      <c r="G47" s="2" t="inlineStr">
        <is>
          <t>captured</t>
        </is>
      </c>
      <c r="H47" s="2" t="n">
        <v>49</v>
      </c>
      <c r="I47" s="2">
        <f>IFERROR(VLOOKUP(C47,Merchants!$A$2:$D$41,2,FALSE),"Merchant not found")</f>
        <v/>
      </c>
      <c r="J47" s="2">
        <f>IFERROR(VLOOKUP(C47,Merchants!$A$2:$D$41,3,FALSE),"Merchant not found")</f>
        <v/>
      </c>
      <c r="K47" s="2">
        <f>IFERROR(VLOOKUP(C47,Merchants!$A$2:$D$41,4,FALSE),"Merchant not found")</f>
        <v/>
      </c>
      <c r="L47" s="7">
        <f>DATE(YEAR(D47),MONTH(D47),DAY(D47))</f>
        <v/>
      </c>
      <c r="M47" s="5">
        <f>IFERROR(HLOOKUP(F47,Fee_Tiers!$B$1:$E$2,2,FALSE),"Fee tier not found")</f>
        <v/>
      </c>
      <c r="N47" s="8">
        <f>SUMIFS(Daily_Merchant!$C$2:$C$444,Daily_Merchant!$A$2:$A$444,C47,Daily_Merchant!$B$2:$B$444,L47)</f>
        <v/>
      </c>
      <c r="O47" s="2">
        <f>IF(AND(N47&gt;5000,K47&lt;&gt;"East"),"High-Value Merchant Day","")</f>
        <v/>
      </c>
    </row>
    <row r="48">
      <c r="A48" s="2" t="inlineStr">
        <is>
          <t>TXN100046</t>
        </is>
      </c>
      <c r="B48" s="2" t="n">
        <v>208</v>
      </c>
      <c r="C48" s="2" t="n">
        <v>11</v>
      </c>
      <c r="D48" s="12" t="n">
        <v>46033.90486111111</v>
      </c>
      <c r="E48" s="8" t="n">
        <v>4999</v>
      </c>
      <c r="F48" s="2" t="inlineStr">
        <is>
          <t>Netbanking</t>
        </is>
      </c>
      <c r="G48" s="2" t="inlineStr">
        <is>
          <t>captured</t>
        </is>
      </c>
      <c r="H48" s="2" t="n">
        <v>59</v>
      </c>
      <c r="I48" s="2">
        <f>IFERROR(VLOOKUP(C48,Merchants!$A$2:$D$41,2,FALSE),"Merchant not found")</f>
        <v/>
      </c>
      <c r="J48" s="2">
        <f>IFERROR(VLOOKUP(C48,Merchants!$A$2:$D$41,3,FALSE),"Merchant not found")</f>
        <v/>
      </c>
      <c r="K48" s="2">
        <f>IFERROR(VLOOKUP(C48,Merchants!$A$2:$D$41,4,FALSE),"Merchant not found")</f>
        <v/>
      </c>
      <c r="L48" s="7">
        <f>DATE(YEAR(D48),MONTH(D48),DAY(D48))</f>
        <v/>
      </c>
      <c r="M48" s="5">
        <f>IFERROR(HLOOKUP(F48,Fee_Tiers!$B$1:$E$2,2,FALSE),"Fee tier not found")</f>
        <v/>
      </c>
      <c r="N48" s="8">
        <f>SUMIFS(Daily_Merchant!$C$2:$C$444,Daily_Merchant!$A$2:$A$444,C48,Daily_Merchant!$B$2:$B$444,L48)</f>
        <v/>
      </c>
      <c r="O48" s="2">
        <f>IF(AND(N48&gt;5000,K48&lt;&gt;"East"),"High-Value Merchant Day","")</f>
        <v/>
      </c>
    </row>
    <row r="49">
      <c r="A49" s="2" t="inlineStr">
        <is>
          <t>TXN100047</t>
        </is>
      </c>
      <c r="B49" s="2" t="n">
        <v>274</v>
      </c>
      <c r="C49" s="2" t="n">
        <v>2</v>
      </c>
      <c r="D49" s="12" t="n">
        <v>46052.19375</v>
      </c>
      <c r="E49" s="8" t="n">
        <v>299</v>
      </c>
      <c r="F49" s="2" t="inlineStr">
        <is>
          <t>UPI</t>
        </is>
      </c>
      <c r="G49" s="2" t="inlineStr">
        <is>
          <t>captured</t>
        </is>
      </c>
      <c r="H49" s="2" t="n">
        <v>50</v>
      </c>
      <c r="I49" s="2">
        <f>IFERROR(VLOOKUP(C49,Merchants!$A$2:$D$41,2,FALSE),"Merchant not found")</f>
        <v/>
      </c>
      <c r="J49" s="2">
        <f>IFERROR(VLOOKUP(C49,Merchants!$A$2:$D$41,3,FALSE),"Merchant not found")</f>
        <v/>
      </c>
      <c r="K49" s="2">
        <f>IFERROR(VLOOKUP(C49,Merchants!$A$2:$D$41,4,FALSE),"Merchant not found")</f>
        <v/>
      </c>
      <c r="L49" s="7">
        <f>DATE(YEAR(D49),MONTH(D49),DAY(D49))</f>
        <v/>
      </c>
      <c r="M49" s="5">
        <f>IFERROR(HLOOKUP(F49,Fee_Tiers!$B$1:$E$2,2,FALSE),"Fee tier not found")</f>
        <v/>
      </c>
      <c r="N49" s="8">
        <f>SUMIFS(Daily_Merchant!$C$2:$C$444,Daily_Merchant!$A$2:$A$444,C49,Daily_Merchant!$B$2:$B$444,L49)</f>
        <v/>
      </c>
      <c r="O49" s="2">
        <f>IF(AND(N49&gt;5000,K49&lt;&gt;"East"),"High-Value Merchant Day","")</f>
        <v/>
      </c>
    </row>
    <row r="50">
      <c r="A50" s="2" t="inlineStr">
        <is>
          <t>TXN100048</t>
        </is>
      </c>
      <c r="B50" s="2" t="n">
        <v>14</v>
      </c>
      <c r="C50" s="2" t="n">
        <v>6</v>
      </c>
      <c r="D50" s="12" t="n">
        <v>46041.77916666667</v>
      </c>
      <c r="E50" s="8" t="n">
        <v>49</v>
      </c>
      <c r="F50" s="2" t="inlineStr">
        <is>
          <t>Wallet</t>
        </is>
      </c>
      <c r="G50" s="2" t="inlineStr">
        <is>
          <t>captured</t>
        </is>
      </c>
      <c r="H50" s="2" t="n">
        <v>82</v>
      </c>
      <c r="I50" s="2">
        <f>IFERROR(VLOOKUP(C50,Merchants!$A$2:$D$41,2,FALSE),"Merchant not found")</f>
        <v/>
      </c>
      <c r="J50" s="2">
        <f>IFERROR(VLOOKUP(C50,Merchants!$A$2:$D$41,3,FALSE),"Merchant not found")</f>
        <v/>
      </c>
      <c r="K50" s="2">
        <f>IFERROR(VLOOKUP(C50,Merchants!$A$2:$D$41,4,FALSE),"Merchant not found")</f>
        <v/>
      </c>
      <c r="L50" s="7">
        <f>DATE(YEAR(D50),MONTH(D50),DAY(D50))</f>
        <v/>
      </c>
      <c r="M50" s="5">
        <f>IFERROR(HLOOKUP(F50,Fee_Tiers!$B$1:$E$2,2,FALSE),"Fee tier not found")</f>
        <v/>
      </c>
      <c r="N50" s="8">
        <f>SUMIFS(Daily_Merchant!$C$2:$C$444,Daily_Merchant!$A$2:$A$444,C50,Daily_Merchant!$B$2:$B$444,L50)</f>
        <v/>
      </c>
      <c r="O50" s="2">
        <f>IF(AND(N50&gt;5000,K50&lt;&gt;"East"),"High-Value Merchant Day","")</f>
        <v/>
      </c>
    </row>
    <row r="51">
      <c r="A51" s="2" t="inlineStr">
        <is>
          <t>TXN100049</t>
        </is>
      </c>
      <c r="B51" s="2" t="n">
        <v>237</v>
      </c>
      <c r="C51" s="2" t="n">
        <v>12</v>
      </c>
      <c r="D51" s="12" t="n">
        <v>46036.20486111111</v>
      </c>
      <c r="E51" s="8" t="n">
        <v>49</v>
      </c>
      <c r="F51" s="2" t="inlineStr">
        <is>
          <t>UPI</t>
        </is>
      </c>
      <c r="G51" s="2" t="inlineStr">
        <is>
          <t>captured</t>
        </is>
      </c>
      <c r="H51" s="2" t="n">
        <v>6</v>
      </c>
      <c r="I51" s="2">
        <f>IFERROR(VLOOKUP(C51,Merchants!$A$2:$D$41,2,FALSE),"Merchant not found")</f>
        <v/>
      </c>
      <c r="J51" s="2">
        <f>IFERROR(VLOOKUP(C51,Merchants!$A$2:$D$41,3,FALSE),"Merchant not found")</f>
        <v/>
      </c>
      <c r="K51" s="2">
        <f>IFERROR(VLOOKUP(C51,Merchants!$A$2:$D$41,4,FALSE),"Merchant not found")</f>
        <v/>
      </c>
      <c r="L51" s="7">
        <f>DATE(YEAR(D51),MONTH(D51),DAY(D51))</f>
        <v/>
      </c>
      <c r="M51" s="5">
        <f>IFERROR(HLOOKUP(F51,Fee_Tiers!$B$1:$E$2,2,FALSE),"Fee tier not found")</f>
        <v/>
      </c>
      <c r="N51" s="8">
        <f>SUMIFS(Daily_Merchant!$C$2:$C$444,Daily_Merchant!$A$2:$A$444,C51,Daily_Merchant!$B$2:$B$444,L51)</f>
        <v/>
      </c>
      <c r="O51" s="2">
        <f>IF(AND(N51&gt;5000,K51&lt;&gt;"East"),"High-Value Merchant Day","")</f>
        <v/>
      </c>
    </row>
    <row r="52">
      <c r="A52" s="2" t="inlineStr">
        <is>
          <t>TXN100050</t>
        </is>
      </c>
      <c r="B52" s="2" t="n">
        <v>109</v>
      </c>
      <c r="C52" s="2" t="n">
        <v>30</v>
      </c>
      <c r="D52" s="12" t="n">
        <v>46031.51388888889</v>
      </c>
      <c r="E52" s="8" t="n">
        <v>99</v>
      </c>
      <c r="F52" s="2" t="inlineStr">
        <is>
          <t>UPI</t>
        </is>
      </c>
      <c r="G52" s="2" t="inlineStr">
        <is>
          <t>captured</t>
        </is>
      </c>
      <c r="H52" s="2" t="n">
        <v>41</v>
      </c>
      <c r="I52" s="2">
        <f>IFERROR(VLOOKUP(C52,Merchants!$A$2:$D$41,2,FALSE),"Merchant not found")</f>
        <v/>
      </c>
      <c r="J52" s="2">
        <f>IFERROR(VLOOKUP(C52,Merchants!$A$2:$D$41,3,FALSE),"Merchant not found")</f>
        <v/>
      </c>
      <c r="K52" s="2">
        <f>IFERROR(VLOOKUP(C52,Merchants!$A$2:$D$41,4,FALSE),"Merchant not found")</f>
        <v/>
      </c>
      <c r="L52" s="7">
        <f>DATE(YEAR(D52),MONTH(D52),DAY(D52))</f>
        <v/>
      </c>
      <c r="M52" s="5">
        <f>IFERROR(HLOOKUP(F52,Fee_Tiers!$B$1:$E$2,2,FALSE),"Fee tier not found")</f>
        <v/>
      </c>
      <c r="N52" s="8">
        <f>SUMIFS(Daily_Merchant!$C$2:$C$444,Daily_Merchant!$A$2:$A$444,C52,Daily_Merchant!$B$2:$B$444,L52)</f>
        <v/>
      </c>
      <c r="O52" s="2">
        <f>IF(AND(N52&gt;5000,K52&lt;&gt;"East"),"High-Value Merchant Day","")</f>
        <v/>
      </c>
    </row>
    <row r="53">
      <c r="A53" s="2" t="inlineStr">
        <is>
          <t>TXN100051</t>
        </is>
      </c>
      <c r="B53" s="2" t="n">
        <v>216</v>
      </c>
      <c r="C53" s="2" t="n">
        <v>17</v>
      </c>
      <c r="D53" s="12" t="n">
        <v>46033.51180555556</v>
      </c>
      <c r="E53" s="8" t="n">
        <v>4999</v>
      </c>
      <c r="F53" s="2" t="inlineStr">
        <is>
          <t>UPI</t>
        </is>
      </c>
      <c r="G53" s="2" t="inlineStr">
        <is>
          <t>captured</t>
        </is>
      </c>
      <c r="H53" s="2" t="n">
        <v>10</v>
      </c>
      <c r="I53" s="2">
        <f>IFERROR(VLOOKUP(C53,Merchants!$A$2:$D$41,2,FALSE),"Merchant not found")</f>
        <v/>
      </c>
      <c r="J53" s="2">
        <f>IFERROR(VLOOKUP(C53,Merchants!$A$2:$D$41,3,FALSE),"Merchant not found")</f>
        <v/>
      </c>
      <c r="K53" s="2">
        <f>IFERROR(VLOOKUP(C53,Merchants!$A$2:$D$41,4,FALSE),"Merchant not found")</f>
        <v/>
      </c>
      <c r="L53" s="7">
        <f>DATE(YEAR(D53),MONTH(D53),DAY(D53))</f>
        <v/>
      </c>
      <c r="M53" s="5">
        <f>IFERROR(HLOOKUP(F53,Fee_Tiers!$B$1:$E$2,2,FALSE),"Fee tier not found")</f>
        <v/>
      </c>
      <c r="N53" s="8">
        <f>SUMIFS(Daily_Merchant!$C$2:$C$444,Daily_Merchant!$A$2:$A$444,C53,Daily_Merchant!$B$2:$B$444,L53)</f>
        <v/>
      </c>
      <c r="O53" s="2">
        <f>IF(AND(N53&gt;5000,K53&lt;&gt;"East"),"High-Value Merchant Day","")</f>
        <v/>
      </c>
    </row>
    <row r="54">
      <c r="A54" s="2" t="inlineStr">
        <is>
          <t>TXN100052</t>
        </is>
      </c>
      <c r="B54" s="2" t="n">
        <v>277</v>
      </c>
      <c r="C54" s="2" t="n">
        <v>4</v>
      </c>
      <c r="D54" s="12" t="n">
        <v>46038.03263888889</v>
      </c>
      <c r="E54" s="8" t="n">
        <v>799</v>
      </c>
      <c r="F54" s="2" t="inlineStr">
        <is>
          <t>UPI</t>
        </is>
      </c>
      <c r="G54" s="2" t="inlineStr">
        <is>
          <t>captured</t>
        </is>
      </c>
      <c r="H54" s="2" t="n">
        <v>44</v>
      </c>
      <c r="I54" s="2">
        <f>IFERROR(VLOOKUP(C54,Merchants!$A$2:$D$41,2,FALSE),"Merchant not found")</f>
        <v/>
      </c>
      <c r="J54" s="2">
        <f>IFERROR(VLOOKUP(C54,Merchants!$A$2:$D$41,3,FALSE),"Merchant not found")</f>
        <v/>
      </c>
      <c r="K54" s="2">
        <f>IFERROR(VLOOKUP(C54,Merchants!$A$2:$D$41,4,FALSE),"Merchant not found")</f>
        <v/>
      </c>
      <c r="L54" s="7">
        <f>DATE(YEAR(D54),MONTH(D54),DAY(D54))</f>
        <v/>
      </c>
      <c r="M54" s="5">
        <f>IFERROR(HLOOKUP(F54,Fee_Tiers!$B$1:$E$2,2,FALSE),"Fee tier not found")</f>
        <v/>
      </c>
      <c r="N54" s="8">
        <f>SUMIFS(Daily_Merchant!$C$2:$C$444,Daily_Merchant!$A$2:$A$444,C54,Daily_Merchant!$B$2:$B$444,L54)</f>
        <v/>
      </c>
      <c r="O54" s="2">
        <f>IF(AND(N54&gt;5000,K54&lt;&gt;"East"),"High-Value Merchant Day","")</f>
        <v/>
      </c>
    </row>
    <row r="55">
      <c r="A55" s="2" t="inlineStr">
        <is>
          <t>TXN100053</t>
        </is>
      </c>
      <c r="B55" s="2" t="n">
        <v>334</v>
      </c>
      <c r="C55" s="2" t="n">
        <v>3</v>
      </c>
      <c r="D55" s="12" t="n">
        <v>46030.83611111111</v>
      </c>
      <c r="E55" s="8" t="n">
        <v>149</v>
      </c>
      <c r="F55" s="2" t="inlineStr">
        <is>
          <t>Wallet</t>
        </is>
      </c>
      <c r="G55" s="2" t="inlineStr">
        <is>
          <t>captured</t>
        </is>
      </c>
      <c r="H55" s="2" t="n">
        <v>96</v>
      </c>
      <c r="I55" s="2">
        <f>IFERROR(VLOOKUP(C55,Merchants!$A$2:$D$41,2,FALSE),"Merchant not found")</f>
        <v/>
      </c>
      <c r="J55" s="2">
        <f>IFERROR(VLOOKUP(C55,Merchants!$A$2:$D$41,3,FALSE),"Merchant not found")</f>
        <v/>
      </c>
      <c r="K55" s="2">
        <f>IFERROR(VLOOKUP(C55,Merchants!$A$2:$D$41,4,FALSE),"Merchant not found")</f>
        <v/>
      </c>
      <c r="L55" s="7">
        <f>DATE(YEAR(D55),MONTH(D55),DAY(D55))</f>
        <v/>
      </c>
      <c r="M55" s="5">
        <f>IFERROR(HLOOKUP(F55,Fee_Tiers!$B$1:$E$2,2,FALSE),"Fee tier not found")</f>
        <v/>
      </c>
      <c r="N55" s="8">
        <f>SUMIFS(Daily_Merchant!$C$2:$C$444,Daily_Merchant!$A$2:$A$444,C55,Daily_Merchant!$B$2:$B$444,L55)</f>
        <v/>
      </c>
      <c r="O55" s="2">
        <f>IF(AND(N55&gt;5000,K55&lt;&gt;"East"),"High-Value Merchant Day","")</f>
        <v/>
      </c>
    </row>
    <row r="56">
      <c r="A56" s="2" t="inlineStr">
        <is>
          <t>TXN100054</t>
        </is>
      </c>
      <c r="B56" s="2" t="n">
        <v>11</v>
      </c>
      <c r="C56" s="2" t="n">
        <v>40</v>
      </c>
      <c r="D56" s="12" t="n">
        <v>46023.3</v>
      </c>
      <c r="E56" s="8" t="n">
        <v>299</v>
      </c>
      <c r="F56" s="2" t="inlineStr">
        <is>
          <t>UPI</t>
        </is>
      </c>
      <c r="G56" s="2" t="inlineStr">
        <is>
          <t>captured</t>
        </is>
      </c>
      <c r="H56" s="2" t="n">
        <v>19</v>
      </c>
      <c r="I56" s="2">
        <f>IFERROR(VLOOKUP(C56,Merchants!$A$2:$D$41,2,FALSE),"Merchant not found")</f>
        <v/>
      </c>
      <c r="J56" s="2">
        <f>IFERROR(VLOOKUP(C56,Merchants!$A$2:$D$41,3,FALSE),"Merchant not found")</f>
        <v/>
      </c>
      <c r="K56" s="2">
        <f>IFERROR(VLOOKUP(C56,Merchants!$A$2:$D$41,4,FALSE),"Merchant not found")</f>
        <v/>
      </c>
      <c r="L56" s="7">
        <f>DATE(YEAR(D56),MONTH(D56),DAY(D56))</f>
        <v/>
      </c>
      <c r="M56" s="5">
        <f>IFERROR(HLOOKUP(F56,Fee_Tiers!$B$1:$E$2,2,FALSE),"Fee tier not found")</f>
        <v/>
      </c>
      <c r="N56" s="8">
        <f>SUMIFS(Daily_Merchant!$C$2:$C$444,Daily_Merchant!$A$2:$A$444,C56,Daily_Merchant!$B$2:$B$444,L56)</f>
        <v/>
      </c>
      <c r="O56" s="2">
        <f>IF(AND(N56&gt;5000,K56&lt;&gt;"East"),"High-Value Merchant Day","")</f>
        <v/>
      </c>
    </row>
    <row r="57">
      <c r="A57" s="2" t="inlineStr">
        <is>
          <t>TXN100055</t>
        </is>
      </c>
      <c r="B57" s="2" t="n">
        <v>343</v>
      </c>
      <c r="C57" s="2" t="n">
        <v>8</v>
      </c>
      <c r="D57" s="12" t="n">
        <v>46030.1875</v>
      </c>
      <c r="E57" s="8" t="n">
        <v>99</v>
      </c>
      <c r="F57" s="2" t="inlineStr">
        <is>
          <t>UPI</t>
        </is>
      </c>
      <c r="G57" s="2" t="inlineStr">
        <is>
          <t>captured</t>
        </is>
      </c>
      <c r="H57" s="2" t="n">
        <v>72</v>
      </c>
      <c r="I57" s="2">
        <f>IFERROR(VLOOKUP(C57,Merchants!$A$2:$D$41,2,FALSE),"Merchant not found")</f>
        <v/>
      </c>
      <c r="J57" s="2">
        <f>IFERROR(VLOOKUP(C57,Merchants!$A$2:$D$41,3,FALSE),"Merchant not found")</f>
        <v/>
      </c>
      <c r="K57" s="2">
        <f>IFERROR(VLOOKUP(C57,Merchants!$A$2:$D$41,4,FALSE),"Merchant not found")</f>
        <v/>
      </c>
      <c r="L57" s="7">
        <f>DATE(YEAR(D57),MONTH(D57),DAY(D57))</f>
        <v/>
      </c>
      <c r="M57" s="5">
        <f>IFERROR(HLOOKUP(F57,Fee_Tiers!$B$1:$E$2,2,FALSE),"Fee tier not found")</f>
        <v/>
      </c>
      <c r="N57" s="8">
        <f>SUMIFS(Daily_Merchant!$C$2:$C$444,Daily_Merchant!$A$2:$A$444,C57,Daily_Merchant!$B$2:$B$444,L57)</f>
        <v/>
      </c>
      <c r="O57" s="2">
        <f>IF(AND(N57&gt;5000,K57&lt;&gt;"East"),"High-Value Merchant Day","")</f>
        <v/>
      </c>
    </row>
    <row r="58">
      <c r="A58" s="2" t="inlineStr">
        <is>
          <t>TXN100056</t>
        </is>
      </c>
      <c r="B58" s="2" t="n">
        <v>132</v>
      </c>
      <c r="C58" s="2" t="n">
        <v>24</v>
      </c>
      <c r="D58" s="12" t="n">
        <v>46029.61388888889</v>
      </c>
      <c r="E58" s="8" t="n">
        <v>299</v>
      </c>
      <c r="F58" s="2" t="inlineStr">
        <is>
          <t>Wallet</t>
        </is>
      </c>
      <c r="G58" s="2" t="inlineStr">
        <is>
          <t>captured</t>
        </is>
      </c>
      <c r="H58" s="2" t="n">
        <v>21</v>
      </c>
      <c r="I58" s="2">
        <f>IFERROR(VLOOKUP(C58,Merchants!$A$2:$D$41,2,FALSE),"Merchant not found")</f>
        <v/>
      </c>
      <c r="J58" s="2">
        <f>IFERROR(VLOOKUP(C58,Merchants!$A$2:$D$41,3,FALSE),"Merchant not found")</f>
        <v/>
      </c>
      <c r="K58" s="2">
        <f>IFERROR(VLOOKUP(C58,Merchants!$A$2:$D$41,4,FALSE),"Merchant not found")</f>
        <v/>
      </c>
      <c r="L58" s="7">
        <f>DATE(YEAR(D58),MONTH(D58),DAY(D58))</f>
        <v/>
      </c>
      <c r="M58" s="5">
        <f>IFERROR(HLOOKUP(F58,Fee_Tiers!$B$1:$E$2,2,FALSE),"Fee tier not found")</f>
        <v/>
      </c>
      <c r="N58" s="8">
        <f>SUMIFS(Daily_Merchant!$C$2:$C$444,Daily_Merchant!$A$2:$A$444,C58,Daily_Merchant!$B$2:$B$444,L58)</f>
        <v/>
      </c>
      <c r="O58" s="2">
        <f>IF(AND(N58&gt;5000,K58&lt;&gt;"East"),"High-Value Merchant Day","")</f>
        <v/>
      </c>
    </row>
    <row r="59">
      <c r="A59" s="2" t="inlineStr">
        <is>
          <t>TXN100057</t>
        </is>
      </c>
      <c r="B59" s="2" t="n">
        <v>59</v>
      </c>
      <c r="C59" s="2" t="n">
        <v>11</v>
      </c>
      <c r="D59" s="12" t="n">
        <v>46042.82430555556</v>
      </c>
      <c r="E59" s="8" t="n">
        <v>299</v>
      </c>
      <c r="F59" s="2" t="inlineStr">
        <is>
          <t>UPI</t>
        </is>
      </c>
      <c r="G59" s="2" t="inlineStr">
        <is>
          <t>captured</t>
        </is>
      </c>
      <c r="H59" s="2" t="n">
        <v>39</v>
      </c>
      <c r="I59" s="2">
        <f>IFERROR(VLOOKUP(C59,Merchants!$A$2:$D$41,2,FALSE),"Merchant not found")</f>
        <v/>
      </c>
      <c r="J59" s="2">
        <f>IFERROR(VLOOKUP(C59,Merchants!$A$2:$D$41,3,FALSE),"Merchant not found")</f>
        <v/>
      </c>
      <c r="K59" s="2">
        <f>IFERROR(VLOOKUP(C59,Merchants!$A$2:$D$41,4,FALSE),"Merchant not found")</f>
        <v/>
      </c>
      <c r="L59" s="7">
        <f>DATE(YEAR(D59),MONTH(D59),DAY(D59))</f>
        <v/>
      </c>
      <c r="M59" s="5">
        <f>IFERROR(HLOOKUP(F59,Fee_Tiers!$B$1:$E$2,2,FALSE),"Fee tier not found")</f>
        <v/>
      </c>
      <c r="N59" s="8">
        <f>SUMIFS(Daily_Merchant!$C$2:$C$444,Daily_Merchant!$A$2:$A$444,C59,Daily_Merchant!$B$2:$B$444,L59)</f>
        <v/>
      </c>
      <c r="O59" s="2">
        <f>IF(AND(N59&gt;5000,K59&lt;&gt;"East"),"High-Value Merchant Day","")</f>
        <v/>
      </c>
    </row>
    <row r="60">
      <c r="A60" s="2" t="inlineStr">
        <is>
          <t>TXN100058</t>
        </is>
      </c>
      <c r="B60" s="2" t="n">
        <v>160</v>
      </c>
      <c r="C60" s="2" t="n">
        <v>37</v>
      </c>
      <c r="D60" s="12" t="n">
        <v>46026.75069444445</v>
      </c>
      <c r="E60" s="8" t="n">
        <v>49</v>
      </c>
      <c r="F60" s="2" t="inlineStr">
        <is>
          <t>Wallet</t>
        </is>
      </c>
      <c r="G60" s="2" t="inlineStr">
        <is>
          <t>captured</t>
        </is>
      </c>
      <c r="H60" s="2" t="n">
        <v>86</v>
      </c>
      <c r="I60" s="2">
        <f>IFERROR(VLOOKUP(C60,Merchants!$A$2:$D$41,2,FALSE),"Merchant not found")</f>
        <v/>
      </c>
      <c r="J60" s="2">
        <f>IFERROR(VLOOKUP(C60,Merchants!$A$2:$D$41,3,FALSE),"Merchant not found")</f>
        <v/>
      </c>
      <c r="K60" s="2">
        <f>IFERROR(VLOOKUP(C60,Merchants!$A$2:$D$41,4,FALSE),"Merchant not found")</f>
        <v/>
      </c>
      <c r="L60" s="7">
        <f>DATE(YEAR(D60),MONTH(D60),DAY(D60))</f>
        <v/>
      </c>
      <c r="M60" s="5">
        <f>IFERROR(HLOOKUP(F60,Fee_Tiers!$B$1:$E$2,2,FALSE),"Fee tier not found")</f>
        <v/>
      </c>
      <c r="N60" s="8">
        <f>SUMIFS(Daily_Merchant!$C$2:$C$444,Daily_Merchant!$A$2:$A$444,C60,Daily_Merchant!$B$2:$B$444,L60)</f>
        <v/>
      </c>
      <c r="O60" s="2">
        <f>IF(AND(N60&gt;5000,K60&lt;&gt;"East"),"High-Value Merchant Day","")</f>
        <v/>
      </c>
    </row>
    <row r="61">
      <c r="A61" s="2" t="inlineStr">
        <is>
          <t>TXN100059</t>
        </is>
      </c>
      <c r="B61" s="2" t="n">
        <v>102</v>
      </c>
      <c r="C61" s="2" t="n">
        <v>5</v>
      </c>
      <c r="D61" s="12" t="n">
        <v>46052.51736111111</v>
      </c>
      <c r="E61" s="8" t="n">
        <v>2999</v>
      </c>
      <c r="F61" s="2" t="inlineStr">
        <is>
          <t>UPI</t>
        </is>
      </c>
      <c r="G61" s="2" t="inlineStr">
        <is>
          <t>captured</t>
        </is>
      </c>
      <c r="H61" s="2" t="n">
        <v>75</v>
      </c>
      <c r="I61" s="2">
        <f>IFERROR(VLOOKUP(C61,Merchants!$A$2:$D$41,2,FALSE),"Merchant not found")</f>
        <v/>
      </c>
      <c r="J61" s="2">
        <f>IFERROR(VLOOKUP(C61,Merchants!$A$2:$D$41,3,FALSE),"Merchant not found")</f>
        <v/>
      </c>
      <c r="K61" s="2">
        <f>IFERROR(VLOOKUP(C61,Merchants!$A$2:$D$41,4,FALSE),"Merchant not found")</f>
        <v/>
      </c>
      <c r="L61" s="7">
        <f>DATE(YEAR(D61),MONTH(D61),DAY(D61))</f>
        <v/>
      </c>
      <c r="M61" s="5">
        <f>IFERROR(HLOOKUP(F61,Fee_Tiers!$B$1:$E$2,2,FALSE),"Fee tier not found")</f>
        <v/>
      </c>
      <c r="N61" s="8">
        <f>SUMIFS(Daily_Merchant!$C$2:$C$444,Daily_Merchant!$A$2:$A$444,C61,Daily_Merchant!$B$2:$B$444,L61)</f>
        <v/>
      </c>
      <c r="O61" s="2">
        <f>IF(AND(N61&gt;5000,K61&lt;&gt;"East"),"High-Value Merchant Day","")</f>
        <v/>
      </c>
    </row>
    <row r="62">
      <c r="A62" s="2" t="inlineStr">
        <is>
          <t>TXN100060</t>
        </is>
      </c>
      <c r="B62" s="2" t="n">
        <v>53</v>
      </c>
      <c r="C62" s="2" t="n">
        <v>20</v>
      </c>
      <c r="D62" s="12" t="n">
        <v>46045.84375</v>
      </c>
      <c r="E62" s="8" t="n">
        <v>49</v>
      </c>
      <c r="F62" s="2" t="inlineStr">
        <is>
          <t>Netbanking</t>
        </is>
      </c>
      <c r="G62" s="2" t="inlineStr">
        <is>
          <t>captured</t>
        </is>
      </c>
      <c r="H62" s="2" t="n">
        <v>87</v>
      </c>
      <c r="I62" s="2">
        <f>IFERROR(VLOOKUP(C62,Merchants!$A$2:$D$41,2,FALSE),"Merchant not found")</f>
        <v/>
      </c>
      <c r="J62" s="2">
        <f>IFERROR(VLOOKUP(C62,Merchants!$A$2:$D$41,3,FALSE),"Merchant not found")</f>
        <v/>
      </c>
      <c r="K62" s="2">
        <f>IFERROR(VLOOKUP(C62,Merchants!$A$2:$D$41,4,FALSE),"Merchant not found")</f>
        <v/>
      </c>
      <c r="L62" s="7">
        <f>DATE(YEAR(D62),MONTH(D62),DAY(D62))</f>
        <v/>
      </c>
      <c r="M62" s="5">
        <f>IFERROR(HLOOKUP(F62,Fee_Tiers!$B$1:$E$2,2,FALSE),"Fee tier not found")</f>
        <v/>
      </c>
      <c r="N62" s="8">
        <f>SUMIFS(Daily_Merchant!$C$2:$C$444,Daily_Merchant!$A$2:$A$444,C62,Daily_Merchant!$B$2:$B$444,L62)</f>
        <v/>
      </c>
      <c r="O62" s="2">
        <f>IF(AND(N62&gt;5000,K62&lt;&gt;"East"),"High-Value Merchant Day","")</f>
        <v/>
      </c>
    </row>
    <row r="63">
      <c r="A63" s="2" t="inlineStr">
        <is>
          <t>TXN100061</t>
        </is>
      </c>
      <c r="B63" s="2" t="n">
        <v>290</v>
      </c>
      <c r="C63" s="2" t="n">
        <v>3</v>
      </c>
      <c r="D63" s="12" t="n">
        <v>46042.15972222222</v>
      </c>
      <c r="E63" s="8" t="n">
        <v>99</v>
      </c>
      <c r="F63" s="2" t="inlineStr">
        <is>
          <t>Wallet</t>
        </is>
      </c>
      <c r="G63" s="2" t="inlineStr">
        <is>
          <t>captured</t>
        </is>
      </c>
      <c r="H63" s="2" t="n">
        <v>44</v>
      </c>
      <c r="I63" s="2">
        <f>IFERROR(VLOOKUP(C63,Merchants!$A$2:$D$41,2,FALSE),"Merchant not found")</f>
        <v/>
      </c>
      <c r="J63" s="2">
        <f>IFERROR(VLOOKUP(C63,Merchants!$A$2:$D$41,3,FALSE),"Merchant not found")</f>
        <v/>
      </c>
      <c r="K63" s="2">
        <f>IFERROR(VLOOKUP(C63,Merchants!$A$2:$D$41,4,FALSE),"Merchant not found")</f>
        <v/>
      </c>
      <c r="L63" s="7">
        <f>DATE(YEAR(D63),MONTH(D63),DAY(D63))</f>
        <v/>
      </c>
      <c r="M63" s="5">
        <f>IFERROR(HLOOKUP(F63,Fee_Tiers!$B$1:$E$2,2,FALSE),"Fee tier not found")</f>
        <v/>
      </c>
      <c r="N63" s="8">
        <f>SUMIFS(Daily_Merchant!$C$2:$C$444,Daily_Merchant!$A$2:$A$444,C63,Daily_Merchant!$B$2:$B$444,L63)</f>
        <v/>
      </c>
      <c r="O63" s="2">
        <f>IF(AND(N63&gt;5000,K63&lt;&gt;"East"),"High-Value Merchant Day","")</f>
        <v/>
      </c>
    </row>
    <row r="64">
      <c r="A64" s="2" t="inlineStr">
        <is>
          <t>TXN100062</t>
        </is>
      </c>
      <c r="B64" s="2" t="n">
        <v>190</v>
      </c>
      <c r="C64" s="2" t="n">
        <v>5</v>
      </c>
      <c r="D64" s="12" t="n">
        <v>46040.57083333333</v>
      </c>
      <c r="E64" s="8" t="n">
        <v>299</v>
      </c>
      <c r="F64" s="2" t="inlineStr">
        <is>
          <t>UPI</t>
        </is>
      </c>
      <c r="G64" s="2" t="inlineStr">
        <is>
          <t>captured</t>
        </is>
      </c>
      <c r="H64" s="2" t="n">
        <v>64</v>
      </c>
      <c r="I64" s="2">
        <f>IFERROR(VLOOKUP(C64,Merchants!$A$2:$D$41,2,FALSE),"Merchant not found")</f>
        <v/>
      </c>
      <c r="J64" s="2">
        <f>IFERROR(VLOOKUP(C64,Merchants!$A$2:$D$41,3,FALSE),"Merchant not found")</f>
        <v/>
      </c>
      <c r="K64" s="2">
        <f>IFERROR(VLOOKUP(C64,Merchants!$A$2:$D$41,4,FALSE),"Merchant not found")</f>
        <v/>
      </c>
      <c r="L64" s="7">
        <f>DATE(YEAR(D64),MONTH(D64),DAY(D64))</f>
        <v/>
      </c>
      <c r="M64" s="5">
        <f>IFERROR(HLOOKUP(F64,Fee_Tiers!$B$1:$E$2,2,FALSE),"Fee tier not found")</f>
        <v/>
      </c>
      <c r="N64" s="8">
        <f>SUMIFS(Daily_Merchant!$C$2:$C$444,Daily_Merchant!$A$2:$A$444,C64,Daily_Merchant!$B$2:$B$444,L64)</f>
        <v/>
      </c>
      <c r="O64" s="2">
        <f>IF(AND(N64&gt;5000,K64&lt;&gt;"East"),"High-Value Merchant Day","")</f>
        <v/>
      </c>
    </row>
    <row r="65">
      <c r="A65" s="2" t="inlineStr">
        <is>
          <t>TXN100063</t>
        </is>
      </c>
      <c r="B65" s="2" t="n">
        <v>216</v>
      </c>
      <c r="C65" s="2" t="n">
        <v>32</v>
      </c>
      <c r="D65" s="12" t="n">
        <v>46043.41666666666</v>
      </c>
      <c r="E65" s="8" t="n">
        <v>49</v>
      </c>
      <c r="F65" s="2" t="inlineStr">
        <is>
          <t>Card</t>
        </is>
      </c>
      <c r="G65" s="2" t="inlineStr">
        <is>
          <t>captured</t>
        </is>
      </c>
      <c r="H65" s="2" t="n">
        <v>13</v>
      </c>
      <c r="I65" s="2">
        <f>IFERROR(VLOOKUP(C65,Merchants!$A$2:$D$41,2,FALSE),"Merchant not found")</f>
        <v/>
      </c>
      <c r="J65" s="2">
        <f>IFERROR(VLOOKUP(C65,Merchants!$A$2:$D$41,3,FALSE),"Merchant not found")</f>
        <v/>
      </c>
      <c r="K65" s="2">
        <f>IFERROR(VLOOKUP(C65,Merchants!$A$2:$D$41,4,FALSE),"Merchant not found")</f>
        <v/>
      </c>
      <c r="L65" s="7">
        <f>DATE(YEAR(D65),MONTH(D65),DAY(D65))</f>
        <v/>
      </c>
      <c r="M65" s="5">
        <f>IFERROR(HLOOKUP(F65,Fee_Tiers!$B$1:$E$2,2,FALSE),"Fee tier not found")</f>
        <v/>
      </c>
      <c r="N65" s="8">
        <f>SUMIFS(Daily_Merchant!$C$2:$C$444,Daily_Merchant!$A$2:$A$444,C65,Daily_Merchant!$B$2:$B$444,L65)</f>
        <v/>
      </c>
      <c r="O65" s="2">
        <f>IF(AND(N65&gt;5000,K65&lt;&gt;"East"),"High-Value Merchant Day","")</f>
        <v/>
      </c>
    </row>
    <row r="66">
      <c r="A66" s="2" t="inlineStr">
        <is>
          <t>TXN100064</t>
        </is>
      </c>
      <c r="B66" s="2" t="n">
        <v>236</v>
      </c>
      <c r="C66" s="2" t="n">
        <v>10</v>
      </c>
      <c r="D66" s="12" t="n">
        <v>46036.48611111111</v>
      </c>
      <c r="E66" s="8" t="n">
        <v>499</v>
      </c>
      <c r="F66" s="2" t="inlineStr">
        <is>
          <t>UPI</t>
        </is>
      </c>
      <c r="G66" s="2" t="inlineStr">
        <is>
          <t>captured</t>
        </is>
      </c>
      <c r="H66" s="2" t="n">
        <v>55</v>
      </c>
      <c r="I66" s="2">
        <f>IFERROR(VLOOKUP(C66,Merchants!$A$2:$D$41,2,FALSE),"Merchant not found")</f>
        <v/>
      </c>
      <c r="J66" s="2">
        <f>IFERROR(VLOOKUP(C66,Merchants!$A$2:$D$41,3,FALSE),"Merchant not found")</f>
        <v/>
      </c>
      <c r="K66" s="2">
        <f>IFERROR(VLOOKUP(C66,Merchants!$A$2:$D$41,4,FALSE),"Merchant not found")</f>
        <v/>
      </c>
      <c r="L66" s="7">
        <f>DATE(YEAR(D66),MONTH(D66),DAY(D66))</f>
        <v/>
      </c>
      <c r="M66" s="5">
        <f>IFERROR(HLOOKUP(F66,Fee_Tiers!$B$1:$E$2,2,FALSE),"Fee tier not found")</f>
        <v/>
      </c>
      <c r="N66" s="8">
        <f>SUMIFS(Daily_Merchant!$C$2:$C$444,Daily_Merchant!$A$2:$A$444,C66,Daily_Merchant!$B$2:$B$444,L66)</f>
        <v/>
      </c>
      <c r="O66" s="2">
        <f>IF(AND(N66&gt;5000,K66&lt;&gt;"East"),"High-Value Merchant Day","")</f>
        <v/>
      </c>
    </row>
    <row r="67">
      <c r="A67" s="2" t="inlineStr">
        <is>
          <t>TXN100065</t>
        </is>
      </c>
      <c r="B67" s="2" t="n">
        <v>334</v>
      </c>
      <c r="C67" s="2" t="n">
        <v>18</v>
      </c>
      <c r="D67" s="12" t="n">
        <v>46028.98125</v>
      </c>
      <c r="E67" s="8" t="n">
        <v>499</v>
      </c>
      <c r="F67" s="2" t="inlineStr">
        <is>
          <t>Card</t>
        </is>
      </c>
      <c r="G67" s="2" t="inlineStr">
        <is>
          <t>captured</t>
        </is>
      </c>
      <c r="H67" s="2" t="n">
        <v>78</v>
      </c>
      <c r="I67" s="2">
        <f>IFERROR(VLOOKUP(C67,Merchants!$A$2:$D$41,2,FALSE),"Merchant not found")</f>
        <v/>
      </c>
      <c r="J67" s="2">
        <f>IFERROR(VLOOKUP(C67,Merchants!$A$2:$D$41,3,FALSE),"Merchant not found")</f>
        <v/>
      </c>
      <c r="K67" s="2">
        <f>IFERROR(VLOOKUP(C67,Merchants!$A$2:$D$41,4,FALSE),"Merchant not found")</f>
        <v/>
      </c>
      <c r="L67" s="7">
        <f>DATE(YEAR(D67),MONTH(D67),DAY(D67))</f>
        <v/>
      </c>
      <c r="M67" s="5">
        <f>IFERROR(HLOOKUP(F67,Fee_Tiers!$B$1:$E$2,2,FALSE),"Fee tier not found")</f>
        <v/>
      </c>
      <c r="N67" s="8">
        <f>SUMIFS(Daily_Merchant!$C$2:$C$444,Daily_Merchant!$A$2:$A$444,C67,Daily_Merchant!$B$2:$B$444,L67)</f>
        <v/>
      </c>
      <c r="O67" s="2">
        <f>IF(AND(N67&gt;5000,K67&lt;&gt;"East"),"High-Value Merchant Day","")</f>
        <v/>
      </c>
    </row>
    <row r="68">
      <c r="A68" s="2" t="inlineStr">
        <is>
          <t>TXN100066</t>
        </is>
      </c>
      <c r="B68" s="2" t="n">
        <v>248</v>
      </c>
      <c r="C68" s="2" t="n">
        <v>30</v>
      </c>
      <c r="D68" s="12" t="n">
        <v>46048.74236111111</v>
      </c>
      <c r="E68" s="8" t="n">
        <v>799</v>
      </c>
      <c r="F68" s="2" t="inlineStr">
        <is>
          <t>Wallet</t>
        </is>
      </c>
      <c r="G68" s="2" t="inlineStr">
        <is>
          <t>captured</t>
        </is>
      </c>
      <c r="H68" s="2" t="n">
        <v>55</v>
      </c>
      <c r="I68" s="2">
        <f>IFERROR(VLOOKUP(C68,Merchants!$A$2:$D$41,2,FALSE),"Merchant not found")</f>
        <v/>
      </c>
      <c r="J68" s="2">
        <f>IFERROR(VLOOKUP(C68,Merchants!$A$2:$D$41,3,FALSE),"Merchant not found")</f>
        <v/>
      </c>
      <c r="K68" s="2">
        <f>IFERROR(VLOOKUP(C68,Merchants!$A$2:$D$41,4,FALSE),"Merchant not found")</f>
        <v/>
      </c>
      <c r="L68" s="7">
        <f>DATE(YEAR(D68),MONTH(D68),DAY(D68))</f>
        <v/>
      </c>
      <c r="M68" s="5">
        <f>IFERROR(HLOOKUP(F68,Fee_Tiers!$B$1:$E$2,2,FALSE),"Fee tier not found")</f>
        <v/>
      </c>
      <c r="N68" s="8">
        <f>SUMIFS(Daily_Merchant!$C$2:$C$444,Daily_Merchant!$A$2:$A$444,C68,Daily_Merchant!$B$2:$B$444,L68)</f>
        <v/>
      </c>
      <c r="O68" s="2">
        <f>IF(AND(N68&gt;5000,K68&lt;&gt;"East"),"High-Value Merchant Day","")</f>
        <v/>
      </c>
    </row>
    <row r="69">
      <c r="A69" s="2" t="inlineStr">
        <is>
          <t>TXN100067</t>
        </is>
      </c>
      <c r="B69" s="2" t="n">
        <v>138</v>
      </c>
      <c r="C69" s="2" t="n">
        <v>21</v>
      </c>
      <c r="D69" s="12" t="n">
        <v>46049.98402777778</v>
      </c>
      <c r="E69" s="8" t="n">
        <v>49</v>
      </c>
      <c r="F69" s="2" t="inlineStr">
        <is>
          <t>Card</t>
        </is>
      </c>
      <c r="G69" s="2" t="inlineStr">
        <is>
          <t>captured</t>
        </is>
      </c>
      <c r="H69" s="2" t="n">
        <v>31</v>
      </c>
      <c r="I69" s="2">
        <f>IFERROR(VLOOKUP(C69,Merchants!$A$2:$D$41,2,FALSE),"Merchant not found")</f>
        <v/>
      </c>
      <c r="J69" s="2">
        <f>IFERROR(VLOOKUP(C69,Merchants!$A$2:$D$41,3,FALSE),"Merchant not found")</f>
        <v/>
      </c>
      <c r="K69" s="2">
        <f>IFERROR(VLOOKUP(C69,Merchants!$A$2:$D$41,4,FALSE),"Merchant not found")</f>
        <v/>
      </c>
      <c r="L69" s="7">
        <f>DATE(YEAR(D69),MONTH(D69),DAY(D69))</f>
        <v/>
      </c>
      <c r="M69" s="5">
        <f>IFERROR(HLOOKUP(F69,Fee_Tiers!$B$1:$E$2,2,FALSE),"Fee tier not found")</f>
        <v/>
      </c>
      <c r="N69" s="8">
        <f>SUMIFS(Daily_Merchant!$C$2:$C$444,Daily_Merchant!$A$2:$A$444,C69,Daily_Merchant!$B$2:$B$444,L69)</f>
        <v/>
      </c>
      <c r="O69" s="2">
        <f>IF(AND(N69&gt;5000,K69&lt;&gt;"East"),"High-Value Merchant Day","")</f>
        <v/>
      </c>
    </row>
    <row r="70">
      <c r="A70" s="2" t="inlineStr">
        <is>
          <t>TXN100068</t>
        </is>
      </c>
      <c r="B70" s="2" t="n">
        <v>231</v>
      </c>
      <c r="C70" s="2" t="n">
        <v>16</v>
      </c>
      <c r="D70" s="12" t="n">
        <v>46049.09513888889</v>
      </c>
      <c r="E70" s="8" t="n">
        <v>49</v>
      </c>
      <c r="F70" s="2" t="inlineStr">
        <is>
          <t>UPI</t>
        </is>
      </c>
      <c r="G70" s="2" t="inlineStr">
        <is>
          <t>captured</t>
        </is>
      </c>
      <c r="H70" s="2" t="n">
        <v>96</v>
      </c>
      <c r="I70" s="2">
        <f>IFERROR(VLOOKUP(C70,Merchants!$A$2:$D$41,2,FALSE),"Merchant not found")</f>
        <v/>
      </c>
      <c r="J70" s="2">
        <f>IFERROR(VLOOKUP(C70,Merchants!$A$2:$D$41,3,FALSE),"Merchant not found")</f>
        <v/>
      </c>
      <c r="K70" s="2">
        <f>IFERROR(VLOOKUP(C70,Merchants!$A$2:$D$41,4,FALSE),"Merchant not found")</f>
        <v/>
      </c>
      <c r="L70" s="7">
        <f>DATE(YEAR(D70),MONTH(D70),DAY(D70))</f>
        <v/>
      </c>
      <c r="M70" s="5">
        <f>IFERROR(HLOOKUP(F70,Fee_Tiers!$B$1:$E$2,2,FALSE),"Fee tier not found")</f>
        <v/>
      </c>
      <c r="N70" s="8">
        <f>SUMIFS(Daily_Merchant!$C$2:$C$444,Daily_Merchant!$A$2:$A$444,C70,Daily_Merchant!$B$2:$B$444,L70)</f>
        <v/>
      </c>
      <c r="O70" s="2">
        <f>IF(AND(N70&gt;5000,K70&lt;&gt;"East"),"High-Value Merchant Day","")</f>
        <v/>
      </c>
    </row>
    <row r="71">
      <c r="A71" s="2" t="inlineStr">
        <is>
          <t>TXN100069</t>
        </is>
      </c>
      <c r="B71" s="2" t="n">
        <v>343</v>
      </c>
      <c r="C71" s="2" t="n">
        <v>25</v>
      </c>
      <c r="D71" s="12" t="n">
        <v>46037.77708333333</v>
      </c>
      <c r="E71" s="8" t="n">
        <v>49</v>
      </c>
      <c r="F71" s="2" t="inlineStr">
        <is>
          <t>UPI</t>
        </is>
      </c>
      <c r="G71" s="2" t="inlineStr">
        <is>
          <t>captured</t>
        </is>
      </c>
      <c r="H71" s="2" t="n">
        <v>43</v>
      </c>
      <c r="I71" s="2">
        <f>IFERROR(VLOOKUP(C71,Merchants!$A$2:$D$41,2,FALSE),"Merchant not found")</f>
        <v/>
      </c>
      <c r="J71" s="2">
        <f>IFERROR(VLOOKUP(C71,Merchants!$A$2:$D$41,3,FALSE),"Merchant not found")</f>
        <v/>
      </c>
      <c r="K71" s="2">
        <f>IFERROR(VLOOKUP(C71,Merchants!$A$2:$D$41,4,FALSE),"Merchant not found")</f>
        <v/>
      </c>
      <c r="L71" s="7">
        <f>DATE(YEAR(D71),MONTH(D71),DAY(D71))</f>
        <v/>
      </c>
      <c r="M71" s="5">
        <f>IFERROR(HLOOKUP(F71,Fee_Tiers!$B$1:$E$2,2,FALSE),"Fee tier not found")</f>
        <v/>
      </c>
      <c r="N71" s="8">
        <f>SUMIFS(Daily_Merchant!$C$2:$C$444,Daily_Merchant!$A$2:$A$444,C71,Daily_Merchant!$B$2:$B$444,L71)</f>
        <v/>
      </c>
      <c r="O71" s="2">
        <f>IF(AND(N71&gt;5000,K71&lt;&gt;"East"),"High-Value Merchant Day","")</f>
        <v/>
      </c>
    </row>
    <row r="72">
      <c r="A72" s="2" t="inlineStr">
        <is>
          <t>TXN100070</t>
        </is>
      </c>
      <c r="B72" s="2" t="n">
        <v>167</v>
      </c>
      <c r="C72" s="2" t="n">
        <v>12</v>
      </c>
      <c r="D72" s="12" t="n">
        <v>46023.6625</v>
      </c>
      <c r="E72" s="8" t="n">
        <v>499</v>
      </c>
      <c r="F72" s="2" t="inlineStr">
        <is>
          <t>Wallet</t>
        </is>
      </c>
      <c r="G72" s="2" t="inlineStr">
        <is>
          <t>captured</t>
        </is>
      </c>
      <c r="H72" s="2" t="n">
        <v>62</v>
      </c>
      <c r="I72" s="2">
        <f>IFERROR(VLOOKUP(C72,Merchants!$A$2:$D$41,2,FALSE),"Merchant not found")</f>
        <v/>
      </c>
      <c r="J72" s="2">
        <f>IFERROR(VLOOKUP(C72,Merchants!$A$2:$D$41,3,FALSE),"Merchant not found")</f>
        <v/>
      </c>
      <c r="K72" s="2">
        <f>IFERROR(VLOOKUP(C72,Merchants!$A$2:$D$41,4,FALSE),"Merchant not found")</f>
        <v/>
      </c>
      <c r="L72" s="7">
        <f>DATE(YEAR(D72),MONTH(D72),DAY(D72))</f>
        <v/>
      </c>
      <c r="M72" s="5">
        <f>IFERROR(HLOOKUP(F72,Fee_Tiers!$B$1:$E$2,2,FALSE),"Fee tier not found")</f>
        <v/>
      </c>
      <c r="N72" s="8">
        <f>SUMIFS(Daily_Merchant!$C$2:$C$444,Daily_Merchant!$A$2:$A$444,C72,Daily_Merchant!$B$2:$B$444,L72)</f>
        <v/>
      </c>
      <c r="O72" s="2">
        <f>IF(AND(N72&gt;5000,K72&lt;&gt;"East"),"High-Value Merchant Day","")</f>
        <v/>
      </c>
    </row>
    <row r="73">
      <c r="A73" s="2" t="inlineStr">
        <is>
          <t>TXN100071</t>
        </is>
      </c>
      <c r="B73" s="2" t="n">
        <v>133</v>
      </c>
      <c r="C73" s="2" t="n">
        <v>22</v>
      </c>
      <c r="D73" s="12" t="n">
        <v>46029.49375</v>
      </c>
      <c r="E73" s="8" t="n">
        <v>499</v>
      </c>
      <c r="F73" s="2" t="inlineStr">
        <is>
          <t>UPI</t>
        </is>
      </c>
      <c r="G73" s="2" t="inlineStr">
        <is>
          <t>captured</t>
        </is>
      </c>
      <c r="H73" s="2" t="n">
        <v>35</v>
      </c>
      <c r="I73" s="2">
        <f>IFERROR(VLOOKUP(C73,Merchants!$A$2:$D$41,2,FALSE),"Merchant not found")</f>
        <v/>
      </c>
      <c r="J73" s="2">
        <f>IFERROR(VLOOKUP(C73,Merchants!$A$2:$D$41,3,FALSE),"Merchant not found")</f>
        <v/>
      </c>
      <c r="K73" s="2">
        <f>IFERROR(VLOOKUP(C73,Merchants!$A$2:$D$41,4,FALSE),"Merchant not found")</f>
        <v/>
      </c>
      <c r="L73" s="7">
        <f>DATE(YEAR(D73),MONTH(D73),DAY(D73))</f>
        <v/>
      </c>
      <c r="M73" s="5">
        <f>IFERROR(HLOOKUP(F73,Fee_Tiers!$B$1:$E$2,2,FALSE),"Fee tier not found")</f>
        <v/>
      </c>
      <c r="N73" s="8">
        <f>SUMIFS(Daily_Merchant!$C$2:$C$444,Daily_Merchant!$A$2:$A$444,C73,Daily_Merchant!$B$2:$B$444,L73)</f>
        <v/>
      </c>
      <c r="O73" s="2">
        <f>IF(AND(N73&gt;5000,K73&lt;&gt;"East"),"High-Value Merchant Day","")</f>
        <v/>
      </c>
    </row>
    <row r="74">
      <c r="A74" s="2" t="inlineStr">
        <is>
          <t>TXN100072</t>
        </is>
      </c>
      <c r="B74" s="2" t="n">
        <v>142</v>
      </c>
      <c r="C74" s="2" t="n">
        <v>36</v>
      </c>
      <c r="D74" s="12" t="n">
        <v>46051.82222222222</v>
      </c>
      <c r="E74" s="8" t="n">
        <v>799</v>
      </c>
      <c r="F74" s="2" t="inlineStr">
        <is>
          <t>Wallet</t>
        </is>
      </c>
      <c r="G74" s="2" t="inlineStr">
        <is>
          <t>captured</t>
        </is>
      </c>
      <c r="H74" s="2" t="n">
        <v>1</v>
      </c>
      <c r="I74" s="2">
        <f>IFERROR(VLOOKUP(C74,Merchants!$A$2:$D$41,2,FALSE),"Merchant not found")</f>
        <v/>
      </c>
      <c r="J74" s="2">
        <f>IFERROR(VLOOKUP(C74,Merchants!$A$2:$D$41,3,FALSE),"Merchant not found")</f>
        <v/>
      </c>
      <c r="K74" s="2">
        <f>IFERROR(VLOOKUP(C74,Merchants!$A$2:$D$41,4,FALSE),"Merchant not found")</f>
        <v/>
      </c>
      <c r="L74" s="7">
        <f>DATE(YEAR(D74),MONTH(D74),DAY(D74))</f>
        <v/>
      </c>
      <c r="M74" s="5">
        <f>IFERROR(HLOOKUP(F74,Fee_Tiers!$B$1:$E$2,2,FALSE),"Fee tier not found")</f>
        <v/>
      </c>
      <c r="N74" s="8">
        <f>SUMIFS(Daily_Merchant!$C$2:$C$444,Daily_Merchant!$A$2:$A$444,C74,Daily_Merchant!$B$2:$B$444,L74)</f>
        <v/>
      </c>
      <c r="O74" s="2">
        <f>IF(AND(N74&gt;5000,K74&lt;&gt;"East"),"High-Value Merchant Day","")</f>
        <v/>
      </c>
    </row>
    <row r="75">
      <c r="A75" s="2" t="inlineStr">
        <is>
          <t>TXN100073</t>
        </is>
      </c>
      <c r="B75" s="2" t="n">
        <v>124</v>
      </c>
      <c r="C75" s="2" t="n">
        <v>27</v>
      </c>
      <c r="D75" s="12" t="n">
        <v>46039.25347222222</v>
      </c>
      <c r="E75" s="8" t="n">
        <v>499</v>
      </c>
      <c r="F75" s="2" t="inlineStr">
        <is>
          <t>Wallet</t>
        </is>
      </c>
      <c r="G75" s="2" t="inlineStr">
        <is>
          <t>captured</t>
        </is>
      </c>
      <c r="H75" s="2" t="n">
        <v>62</v>
      </c>
      <c r="I75" s="2">
        <f>IFERROR(VLOOKUP(C75,Merchants!$A$2:$D$41,2,FALSE),"Merchant not found")</f>
        <v/>
      </c>
      <c r="J75" s="2">
        <f>IFERROR(VLOOKUP(C75,Merchants!$A$2:$D$41,3,FALSE),"Merchant not found")</f>
        <v/>
      </c>
      <c r="K75" s="2">
        <f>IFERROR(VLOOKUP(C75,Merchants!$A$2:$D$41,4,FALSE),"Merchant not found")</f>
        <v/>
      </c>
      <c r="L75" s="7">
        <f>DATE(YEAR(D75),MONTH(D75),DAY(D75))</f>
        <v/>
      </c>
      <c r="M75" s="5">
        <f>IFERROR(HLOOKUP(F75,Fee_Tiers!$B$1:$E$2,2,FALSE),"Fee tier not found")</f>
        <v/>
      </c>
      <c r="N75" s="8">
        <f>SUMIFS(Daily_Merchant!$C$2:$C$444,Daily_Merchant!$A$2:$A$444,C75,Daily_Merchant!$B$2:$B$444,L75)</f>
        <v/>
      </c>
      <c r="O75" s="2">
        <f>IF(AND(N75&gt;5000,K75&lt;&gt;"East"),"High-Value Merchant Day","")</f>
        <v/>
      </c>
    </row>
    <row r="76">
      <c r="A76" s="2" t="inlineStr">
        <is>
          <t>TXN100074</t>
        </is>
      </c>
      <c r="B76" s="2" t="n">
        <v>244</v>
      </c>
      <c r="C76" s="2" t="n">
        <v>32</v>
      </c>
      <c r="D76" s="12" t="n">
        <v>46040.32222222222</v>
      </c>
      <c r="E76" s="8" t="n">
        <v>149</v>
      </c>
      <c r="F76" s="2" t="inlineStr">
        <is>
          <t>UPI</t>
        </is>
      </c>
      <c r="G76" s="2" t="inlineStr">
        <is>
          <t>captured</t>
        </is>
      </c>
      <c r="H76" s="2" t="n">
        <v>57</v>
      </c>
      <c r="I76" s="2">
        <f>IFERROR(VLOOKUP(C76,Merchants!$A$2:$D$41,2,FALSE),"Merchant not found")</f>
        <v/>
      </c>
      <c r="J76" s="2">
        <f>IFERROR(VLOOKUP(C76,Merchants!$A$2:$D$41,3,FALSE),"Merchant not found")</f>
        <v/>
      </c>
      <c r="K76" s="2">
        <f>IFERROR(VLOOKUP(C76,Merchants!$A$2:$D$41,4,FALSE),"Merchant not found")</f>
        <v/>
      </c>
      <c r="L76" s="7">
        <f>DATE(YEAR(D76),MONTH(D76),DAY(D76))</f>
        <v/>
      </c>
      <c r="M76" s="5">
        <f>IFERROR(HLOOKUP(F76,Fee_Tiers!$B$1:$E$2,2,FALSE),"Fee tier not found")</f>
        <v/>
      </c>
      <c r="N76" s="8">
        <f>SUMIFS(Daily_Merchant!$C$2:$C$444,Daily_Merchant!$A$2:$A$444,C76,Daily_Merchant!$B$2:$B$444,L76)</f>
        <v/>
      </c>
      <c r="O76" s="2">
        <f>IF(AND(N76&gt;5000,K76&lt;&gt;"East"),"High-Value Merchant Day","")</f>
        <v/>
      </c>
    </row>
    <row r="77">
      <c r="A77" s="2" t="inlineStr">
        <is>
          <t>TXN100075</t>
        </is>
      </c>
      <c r="B77" s="2" t="n">
        <v>151</v>
      </c>
      <c r="C77" s="2" t="n">
        <v>15</v>
      </c>
      <c r="D77" s="12" t="n">
        <v>46048.00347222222</v>
      </c>
      <c r="E77" s="8" t="n">
        <v>4999</v>
      </c>
      <c r="F77" s="2" t="inlineStr">
        <is>
          <t>UPI</t>
        </is>
      </c>
      <c r="G77" s="2" t="inlineStr">
        <is>
          <t>captured</t>
        </is>
      </c>
      <c r="H77" s="2" t="n">
        <v>51</v>
      </c>
      <c r="I77" s="2">
        <f>IFERROR(VLOOKUP(C77,Merchants!$A$2:$D$41,2,FALSE),"Merchant not found")</f>
        <v/>
      </c>
      <c r="J77" s="2">
        <f>IFERROR(VLOOKUP(C77,Merchants!$A$2:$D$41,3,FALSE),"Merchant not found")</f>
        <v/>
      </c>
      <c r="K77" s="2">
        <f>IFERROR(VLOOKUP(C77,Merchants!$A$2:$D$41,4,FALSE),"Merchant not found")</f>
        <v/>
      </c>
      <c r="L77" s="7">
        <f>DATE(YEAR(D77),MONTH(D77),DAY(D77))</f>
        <v/>
      </c>
      <c r="M77" s="5">
        <f>IFERROR(HLOOKUP(F77,Fee_Tiers!$B$1:$E$2,2,FALSE),"Fee tier not found")</f>
        <v/>
      </c>
      <c r="N77" s="8">
        <f>SUMIFS(Daily_Merchant!$C$2:$C$444,Daily_Merchant!$A$2:$A$444,C77,Daily_Merchant!$B$2:$B$444,L77)</f>
        <v/>
      </c>
      <c r="O77" s="2">
        <f>IF(AND(N77&gt;5000,K77&lt;&gt;"East"),"High-Value Merchant Day","")</f>
        <v/>
      </c>
    </row>
    <row r="78">
      <c r="A78" s="2" t="inlineStr">
        <is>
          <t>TXN100076</t>
        </is>
      </c>
      <c r="B78" s="2" t="n">
        <v>340</v>
      </c>
      <c r="C78" s="2" t="n">
        <v>38</v>
      </c>
      <c r="D78" s="12" t="n">
        <v>46045.30486111111</v>
      </c>
      <c r="E78" s="8" t="n">
        <v>499</v>
      </c>
      <c r="F78" s="2" t="inlineStr">
        <is>
          <t>Card</t>
        </is>
      </c>
      <c r="G78" s="2" t="inlineStr">
        <is>
          <t>captured</t>
        </is>
      </c>
      <c r="H78" s="2" t="n">
        <v>47</v>
      </c>
      <c r="I78" s="2">
        <f>IFERROR(VLOOKUP(C78,Merchants!$A$2:$D$41,2,FALSE),"Merchant not found")</f>
        <v/>
      </c>
      <c r="J78" s="2">
        <f>IFERROR(VLOOKUP(C78,Merchants!$A$2:$D$41,3,FALSE),"Merchant not found")</f>
        <v/>
      </c>
      <c r="K78" s="2">
        <f>IFERROR(VLOOKUP(C78,Merchants!$A$2:$D$41,4,FALSE),"Merchant not found")</f>
        <v/>
      </c>
      <c r="L78" s="7">
        <f>DATE(YEAR(D78),MONTH(D78),DAY(D78))</f>
        <v/>
      </c>
      <c r="M78" s="5">
        <f>IFERROR(HLOOKUP(F78,Fee_Tiers!$B$1:$E$2,2,FALSE),"Fee tier not found")</f>
        <v/>
      </c>
      <c r="N78" s="8">
        <f>SUMIFS(Daily_Merchant!$C$2:$C$444,Daily_Merchant!$A$2:$A$444,C78,Daily_Merchant!$B$2:$B$444,L78)</f>
        <v/>
      </c>
      <c r="O78" s="2">
        <f>IF(AND(N78&gt;5000,K78&lt;&gt;"East"),"High-Value Merchant Day","")</f>
        <v/>
      </c>
    </row>
    <row r="79">
      <c r="A79" s="2" t="inlineStr">
        <is>
          <t>TXN100077</t>
        </is>
      </c>
      <c r="B79" s="2" t="n">
        <v>177</v>
      </c>
      <c r="C79" s="2" t="n">
        <v>28</v>
      </c>
      <c r="D79" s="12" t="n">
        <v>46038.73125</v>
      </c>
      <c r="E79" s="8" t="n">
        <v>299</v>
      </c>
      <c r="F79" s="2" t="inlineStr">
        <is>
          <t>UPI</t>
        </is>
      </c>
      <c r="G79" s="2" t="inlineStr">
        <is>
          <t>captured</t>
        </is>
      </c>
      <c r="H79" s="2" t="n">
        <v>95</v>
      </c>
      <c r="I79" s="2">
        <f>IFERROR(VLOOKUP(C79,Merchants!$A$2:$D$41,2,FALSE),"Merchant not found")</f>
        <v/>
      </c>
      <c r="J79" s="2">
        <f>IFERROR(VLOOKUP(C79,Merchants!$A$2:$D$41,3,FALSE),"Merchant not found")</f>
        <v/>
      </c>
      <c r="K79" s="2">
        <f>IFERROR(VLOOKUP(C79,Merchants!$A$2:$D$41,4,FALSE),"Merchant not found")</f>
        <v/>
      </c>
      <c r="L79" s="7">
        <f>DATE(YEAR(D79),MONTH(D79),DAY(D79))</f>
        <v/>
      </c>
      <c r="M79" s="5">
        <f>IFERROR(HLOOKUP(F79,Fee_Tiers!$B$1:$E$2,2,FALSE),"Fee tier not found")</f>
        <v/>
      </c>
      <c r="N79" s="8">
        <f>SUMIFS(Daily_Merchant!$C$2:$C$444,Daily_Merchant!$A$2:$A$444,C79,Daily_Merchant!$B$2:$B$444,L79)</f>
        <v/>
      </c>
      <c r="O79" s="2">
        <f>IF(AND(N79&gt;5000,K79&lt;&gt;"East"),"High-Value Merchant Day","")</f>
        <v/>
      </c>
    </row>
    <row r="80">
      <c r="A80" s="2" t="inlineStr">
        <is>
          <t>TXN100078</t>
        </is>
      </c>
      <c r="B80" s="2" t="n">
        <v>233</v>
      </c>
      <c r="C80" s="2" t="n">
        <v>18</v>
      </c>
      <c r="D80" s="12" t="n">
        <v>46040.43194444444</v>
      </c>
      <c r="E80" s="8" t="n">
        <v>499</v>
      </c>
      <c r="F80" s="2" t="inlineStr">
        <is>
          <t>UPI</t>
        </is>
      </c>
      <c r="G80" s="2" t="inlineStr">
        <is>
          <t>captured</t>
        </is>
      </c>
      <c r="H80" s="2" t="n">
        <v>39</v>
      </c>
      <c r="I80" s="2">
        <f>IFERROR(VLOOKUP(C80,Merchants!$A$2:$D$41,2,FALSE),"Merchant not found")</f>
        <v/>
      </c>
      <c r="J80" s="2">
        <f>IFERROR(VLOOKUP(C80,Merchants!$A$2:$D$41,3,FALSE),"Merchant not found")</f>
        <v/>
      </c>
      <c r="K80" s="2">
        <f>IFERROR(VLOOKUP(C80,Merchants!$A$2:$D$41,4,FALSE),"Merchant not found")</f>
        <v/>
      </c>
      <c r="L80" s="7">
        <f>DATE(YEAR(D80),MONTH(D80),DAY(D80))</f>
        <v/>
      </c>
      <c r="M80" s="5">
        <f>IFERROR(HLOOKUP(F80,Fee_Tiers!$B$1:$E$2,2,FALSE),"Fee tier not found")</f>
        <v/>
      </c>
      <c r="N80" s="8">
        <f>SUMIFS(Daily_Merchant!$C$2:$C$444,Daily_Merchant!$A$2:$A$444,C80,Daily_Merchant!$B$2:$B$444,L80)</f>
        <v/>
      </c>
      <c r="O80" s="2">
        <f>IF(AND(N80&gt;5000,K80&lt;&gt;"East"),"High-Value Merchant Day","")</f>
        <v/>
      </c>
    </row>
    <row r="81">
      <c r="A81" s="2" t="inlineStr">
        <is>
          <t>TXN100079</t>
        </is>
      </c>
      <c r="B81" s="2" t="n">
        <v>99</v>
      </c>
      <c r="C81" s="2" t="n">
        <v>21</v>
      </c>
      <c r="D81" s="12" t="n">
        <v>46031.29652777778</v>
      </c>
      <c r="E81" s="8" t="n">
        <v>499</v>
      </c>
      <c r="F81" s="2" t="inlineStr">
        <is>
          <t>UPI</t>
        </is>
      </c>
      <c r="G81" s="2" t="inlineStr">
        <is>
          <t>captured</t>
        </is>
      </c>
      <c r="H81" s="2" t="n">
        <v>15</v>
      </c>
      <c r="I81" s="2">
        <f>IFERROR(VLOOKUP(C81,Merchants!$A$2:$D$41,2,FALSE),"Merchant not found")</f>
        <v/>
      </c>
      <c r="J81" s="2">
        <f>IFERROR(VLOOKUP(C81,Merchants!$A$2:$D$41,3,FALSE),"Merchant not found")</f>
        <v/>
      </c>
      <c r="K81" s="2">
        <f>IFERROR(VLOOKUP(C81,Merchants!$A$2:$D$41,4,FALSE),"Merchant not found")</f>
        <v/>
      </c>
      <c r="L81" s="7">
        <f>DATE(YEAR(D81),MONTH(D81),DAY(D81))</f>
        <v/>
      </c>
      <c r="M81" s="5">
        <f>IFERROR(HLOOKUP(F81,Fee_Tiers!$B$1:$E$2,2,FALSE),"Fee tier not found")</f>
        <v/>
      </c>
      <c r="N81" s="8">
        <f>SUMIFS(Daily_Merchant!$C$2:$C$444,Daily_Merchant!$A$2:$A$444,C81,Daily_Merchant!$B$2:$B$444,L81)</f>
        <v/>
      </c>
      <c r="O81" s="2">
        <f>IF(AND(N81&gt;5000,K81&lt;&gt;"East"),"High-Value Merchant Day","")</f>
        <v/>
      </c>
    </row>
    <row r="82">
      <c r="A82" s="2" t="inlineStr">
        <is>
          <t>TXN100080</t>
        </is>
      </c>
      <c r="B82" s="2" t="n">
        <v>95</v>
      </c>
      <c r="C82" s="2" t="n">
        <v>13</v>
      </c>
      <c r="D82" s="12" t="n">
        <v>46046.74166666667</v>
      </c>
      <c r="E82" s="8" t="n">
        <v>2999</v>
      </c>
      <c r="F82" s="2" t="inlineStr">
        <is>
          <t>Netbanking</t>
        </is>
      </c>
      <c r="G82" s="2" t="inlineStr">
        <is>
          <t>failed</t>
        </is>
      </c>
      <c r="H82" s="2" t="n">
        <v>27</v>
      </c>
      <c r="I82" s="2">
        <f>IFERROR(VLOOKUP(C82,Merchants!$A$2:$D$41,2,FALSE),"Merchant not found")</f>
        <v/>
      </c>
      <c r="J82" s="2">
        <f>IFERROR(VLOOKUP(C82,Merchants!$A$2:$D$41,3,FALSE),"Merchant not found")</f>
        <v/>
      </c>
      <c r="K82" s="2">
        <f>IFERROR(VLOOKUP(C82,Merchants!$A$2:$D$41,4,FALSE),"Merchant not found")</f>
        <v/>
      </c>
      <c r="L82" s="7">
        <f>DATE(YEAR(D82),MONTH(D82),DAY(D82))</f>
        <v/>
      </c>
      <c r="M82" s="5">
        <f>IFERROR(HLOOKUP(F82,Fee_Tiers!$B$1:$E$2,2,FALSE),"Fee tier not found")</f>
        <v/>
      </c>
      <c r="N82" s="8">
        <f>SUMIFS(Daily_Merchant!$C$2:$C$444,Daily_Merchant!$A$2:$A$444,C82,Daily_Merchant!$B$2:$B$444,L82)</f>
        <v/>
      </c>
      <c r="O82" s="2">
        <f>IF(AND(N82&gt;5000,K82&lt;&gt;"East"),"High-Value Merchant Day","")</f>
        <v/>
      </c>
    </row>
    <row r="83">
      <c r="A83" s="2" t="inlineStr">
        <is>
          <t>TXN100081</t>
        </is>
      </c>
      <c r="B83" s="2" t="n">
        <v>302</v>
      </c>
      <c r="C83" s="2" t="n">
        <v>34</v>
      </c>
      <c r="D83" s="12" t="n">
        <v>46046.63680555556</v>
      </c>
      <c r="E83" s="8" t="n">
        <v>49</v>
      </c>
      <c r="F83" s="2" t="inlineStr">
        <is>
          <t>Netbanking</t>
        </is>
      </c>
      <c r="G83" s="2" t="inlineStr">
        <is>
          <t>captured</t>
        </is>
      </c>
      <c r="H83" s="2" t="n">
        <v>76</v>
      </c>
      <c r="I83" s="2">
        <f>IFERROR(VLOOKUP(C83,Merchants!$A$2:$D$41,2,FALSE),"Merchant not found")</f>
        <v/>
      </c>
      <c r="J83" s="2">
        <f>IFERROR(VLOOKUP(C83,Merchants!$A$2:$D$41,3,FALSE),"Merchant not found")</f>
        <v/>
      </c>
      <c r="K83" s="2">
        <f>IFERROR(VLOOKUP(C83,Merchants!$A$2:$D$41,4,FALSE),"Merchant not found")</f>
        <v/>
      </c>
      <c r="L83" s="7">
        <f>DATE(YEAR(D83),MONTH(D83),DAY(D83))</f>
        <v/>
      </c>
      <c r="M83" s="5">
        <f>IFERROR(HLOOKUP(F83,Fee_Tiers!$B$1:$E$2,2,FALSE),"Fee tier not found")</f>
        <v/>
      </c>
      <c r="N83" s="8">
        <f>SUMIFS(Daily_Merchant!$C$2:$C$444,Daily_Merchant!$A$2:$A$444,C83,Daily_Merchant!$B$2:$B$444,L83)</f>
        <v/>
      </c>
      <c r="O83" s="2">
        <f>IF(AND(N83&gt;5000,K83&lt;&gt;"East"),"High-Value Merchant Day","")</f>
        <v/>
      </c>
    </row>
    <row r="84">
      <c r="A84" s="2" t="inlineStr">
        <is>
          <t>TXN100082</t>
        </is>
      </c>
      <c r="B84" s="2" t="n">
        <v>100</v>
      </c>
      <c r="C84" s="2" t="n">
        <v>19</v>
      </c>
      <c r="D84" s="12" t="n">
        <v>46032.16180555556</v>
      </c>
      <c r="E84" s="8" t="n">
        <v>2999</v>
      </c>
      <c r="F84" s="2" t="inlineStr">
        <is>
          <t>Netbanking</t>
        </is>
      </c>
      <c r="G84" s="2" t="inlineStr">
        <is>
          <t>captured</t>
        </is>
      </c>
      <c r="H84" s="2" t="n">
        <v>29</v>
      </c>
      <c r="I84" s="2">
        <f>IFERROR(VLOOKUP(C84,Merchants!$A$2:$D$41,2,FALSE),"Merchant not found")</f>
        <v/>
      </c>
      <c r="J84" s="2">
        <f>IFERROR(VLOOKUP(C84,Merchants!$A$2:$D$41,3,FALSE),"Merchant not found")</f>
        <v/>
      </c>
      <c r="K84" s="2">
        <f>IFERROR(VLOOKUP(C84,Merchants!$A$2:$D$41,4,FALSE),"Merchant not found")</f>
        <v/>
      </c>
      <c r="L84" s="7">
        <f>DATE(YEAR(D84),MONTH(D84),DAY(D84))</f>
        <v/>
      </c>
      <c r="M84" s="5">
        <f>IFERROR(HLOOKUP(F84,Fee_Tiers!$B$1:$E$2,2,FALSE),"Fee tier not found")</f>
        <v/>
      </c>
      <c r="N84" s="8">
        <f>SUMIFS(Daily_Merchant!$C$2:$C$444,Daily_Merchant!$A$2:$A$444,C84,Daily_Merchant!$B$2:$B$444,L84)</f>
        <v/>
      </c>
      <c r="O84" s="2">
        <f>IF(AND(N84&gt;5000,K84&lt;&gt;"East"),"High-Value Merchant Day","")</f>
        <v/>
      </c>
    </row>
    <row r="85">
      <c r="A85" s="2" t="inlineStr">
        <is>
          <t>TXN100083</t>
        </is>
      </c>
      <c r="B85" s="2" t="n">
        <v>8</v>
      </c>
      <c r="C85" s="2" t="n">
        <v>35</v>
      </c>
      <c r="D85" s="12" t="n">
        <v>46034.22152777778</v>
      </c>
      <c r="E85" s="8" t="n">
        <v>99</v>
      </c>
      <c r="F85" s="2" t="inlineStr">
        <is>
          <t>UPI</t>
        </is>
      </c>
      <c r="G85" s="2" t="inlineStr">
        <is>
          <t>captured</t>
        </is>
      </c>
      <c r="H85" s="2" t="n">
        <v>16</v>
      </c>
      <c r="I85" s="2">
        <f>IFERROR(VLOOKUP(C85,Merchants!$A$2:$D$41,2,FALSE),"Merchant not found")</f>
        <v/>
      </c>
      <c r="J85" s="2">
        <f>IFERROR(VLOOKUP(C85,Merchants!$A$2:$D$41,3,FALSE),"Merchant not found")</f>
        <v/>
      </c>
      <c r="K85" s="2">
        <f>IFERROR(VLOOKUP(C85,Merchants!$A$2:$D$41,4,FALSE),"Merchant not found")</f>
        <v/>
      </c>
      <c r="L85" s="7">
        <f>DATE(YEAR(D85),MONTH(D85),DAY(D85))</f>
        <v/>
      </c>
      <c r="M85" s="5">
        <f>IFERROR(HLOOKUP(F85,Fee_Tiers!$B$1:$E$2,2,FALSE),"Fee tier not found")</f>
        <v/>
      </c>
      <c r="N85" s="8">
        <f>SUMIFS(Daily_Merchant!$C$2:$C$444,Daily_Merchant!$A$2:$A$444,C85,Daily_Merchant!$B$2:$B$444,L85)</f>
        <v/>
      </c>
      <c r="O85" s="2">
        <f>IF(AND(N85&gt;5000,K85&lt;&gt;"East"),"High-Value Merchant Day","")</f>
        <v/>
      </c>
    </row>
    <row r="86">
      <c r="A86" s="2" t="inlineStr">
        <is>
          <t>TXN100084</t>
        </is>
      </c>
      <c r="B86" s="2" t="n">
        <v>284</v>
      </c>
      <c r="C86" s="2" t="n">
        <v>19</v>
      </c>
      <c r="D86" s="12" t="n">
        <v>46031.04375</v>
      </c>
      <c r="E86" s="8" t="n">
        <v>99</v>
      </c>
      <c r="F86" s="2" t="inlineStr">
        <is>
          <t>UPI</t>
        </is>
      </c>
      <c r="G86" s="2" t="inlineStr">
        <is>
          <t>captured</t>
        </is>
      </c>
      <c r="H86" s="2" t="n">
        <v>89</v>
      </c>
      <c r="I86" s="2">
        <f>IFERROR(VLOOKUP(C86,Merchants!$A$2:$D$41,2,FALSE),"Merchant not found")</f>
        <v/>
      </c>
      <c r="J86" s="2">
        <f>IFERROR(VLOOKUP(C86,Merchants!$A$2:$D$41,3,FALSE),"Merchant not found")</f>
        <v/>
      </c>
      <c r="K86" s="2">
        <f>IFERROR(VLOOKUP(C86,Merchants!$A$2:$D$41,4,FALSE),"Merchant not found")</f>
        <v/>
      </c>
      <c r="L86" s="7">
        <f>DATE(YEAR(D86),MONTH(D86),DAY(D86))</f>
        <v/>
      </c>
      <c r="M86" s="5">
        <f>IFERROR(HLOOKUP(F86,Fee_Tiers!$B$1:$E$2,2,FALSE),"Fee tier not found")</f>
        <v/>
      </c>
      <c r="N86" s="8">
        <f>SUMIFS(Daily_Merchant!$C$2:$C$444,Daily_Merchant!$A$2:$A$444,C86,Daily_Merchant!$B$2:$B$444,L86)</f>
        <v/>
      </c>
      <c r="O86" s="2">
        <f>IF(AND(N86&gt;5000,K86&lt;&gt;"East"),"High-Value Merchant Day","")</f>
        <v/>
      </c>
    </row>
    <row r="87">
      <c r="A87" s="2" t="inlineStr">
        <is>
          <t>TXN100085</t>
        </is>
      </c>
      <c r="B87" s="2" t="n">
        <v>252</v>
      </c>
      <c r="C87" s="2" t="n">
        <v>7</v>
      </c>
      <c r="D87" s="12" t="n">
        <v>46027.87152777778</v>
      </c>
      <c r="E87" s="8" t="n">
        <v>2999</v>
      </c>
      <c r="F87" s="2" t="inlineStr">
        <is>
          <t>Wallet</t>
        </is>
      </c>
      <c r="G87" s="2" t="inlineStr">
        <is>
          <t>captured</t>
        </is>
      </c>
      <c r="H87" s="2" t="n">
        <v>1</v>
      </c>
      <c r="I87" s="2">
        <f>IFERROR(VLOOKUP(C87,Merchants!$A$2:$D$41,2,FALSE),"Merchant not found")</f>
        <v/>
      </c>
      <c r="J87" s="2">
        <f>IFERROR(VLOOKUP(C87,Merchants!$A$2:$D$41,3,FALSE),"Merchant not found")</f>
        <v/>
      </c>
      <c r="K87" s="2">
        <f>IFERROR(VLOOKUP(C87,Merchants!$A$2:$D$41,4,FALSE),"Merchant not found")</f>
        <v/>
      </c>
      <c r="L87" s="7">
        <f>DATE(YEAR(D87),MONTH(D87),DAY(D87))</f>
        <v/>
      </c>
      <c r="M87" s="5">
        <f>IFERROR(HLOOKUP(F87,Fee_Tiers!$B$1:$E$2,2,FALSE),"Fee tier not found")</f>
        <v/>
      </c>
      <c r="N87" s="8">
        <f>SUMIFS(Daily_Merchant!$C$2:$C$444,Daily_Merchant!$A$2:$A$444,C87,Daily_Merchant!$B$2:$B$444,L87)</f>
        <v/>
      </c>
      <c r="O87" s="2">
        <f>IF(AND(N87&gt;5000,K87&lt;&gt;"East"),"High-Value Merchant Day","")</f>
        <v/>
      </c>
    </row>
    <row r="88">
      <c r="A88" s="2" t="inlineStr">
        <is>
          <t>TXN100086</t>
        </is>
      </c>
      <c r="B88" s="2" t="n">
        <v>246</v>
      </c>
      <c r="C88" s="2" t="n">
        <v>29</v>
      </c>
      <c r="D88" s="12" t="n">
        <v>46041.39583333334</v>
      </c>
      <c r="E88" s="8" t="n">
        <v>49</v>
      </c>
      <c r="F88" s="2" t="inlineStr">
        <is>
          <t>Wallet</t>
        </is>
      </c>
      <c r="G88" s="2" t="inlineStr">
        <is>
          <t>captured</t>
        </is>
      </c>
      <c r="H88" s="2" t="n">
        <v>43</v>
      </c>
      <c r="I88" s="2">
        <f>IFERROR(VLOOKUP(C88,Merchants!$A$2:$D$41,2,FALSE),"Merchant not found")</f>
        <v/>
      </c>
      <c r="J88" s="2">
        <f>IFERROR(VLOOKUP(C88,Merchants!$A$2:$D$41,3,FALSE),"Merchant not found")</f>
        <v/>
      </c>
      <c r="K88" s="2">
        <f>IFERROR(VLOOKUP(C88,Merchants!$A$2:$D$41,4,FALSE),"Merchant not found")</f>
        <v/>
      </c>
      <c r="L88" s="7">
        <f>DATE(YEAR(D88),MONTH(D88),DAY(D88))</f>
        <v/>
      </c>
      <c r="M88" s="5">
        <f>IFERROR(HLOOKUP(F88,Fee_Tiers!$B$1:$E$2,2,FALSE),"Fee tier not found")</f>
        <v/>
      </c>
      <c r="N88" s="8">
        <f>SUMIFS(Daily_Merchant!$C$2:$C$444,Daily_Merchant!$A$2:$A$444,C88,Daily_Merchant!$B$2:$B$444,L88)</f>
        <v/>
      </c>
      <c r="O88" s="2">
        <f>IF(AND(N88&gt;5000,K88&lt;&gt;"East"),"High-Value Merchant Day","")</f>
        <v/>
      </c>
    </row>
    <row r="89">
      <c r="A89" s="2" t="inlineStr">
        <is>
          <t>TXN100087</t>
        </is>
      </c>
      <c r="B89" s="2" t="n">
        <v>245</v>
      </c>
      <c r="C89" s="2" t="n">
        <v>8</v>
      </c>
      <c r="D89" s="12" t="n">
        <v>46028.05277777778</v>
      </c>
      <c r="E89" s="8" t="n">
        <v>49</v>
      </c>
      <c r="F89" s="2" t="inlineStr">
        <is>
          <t>UPI</t>
        </is>
      </c>
      <c r="G89" s="2" t="inlineStr">
        <is>
          <t>chargeback</t>
        </is>
      </c>
      <c r="H89" s="2" t="n">
        <v>8</v>
      </c>
      <c r="I89" s="2">
        <f>IFERROR(VLOOKUP(C89,Merchants!$A$2:$D$41,2,FALSE),"Merchant not found")</f>
        <v/>
      </c>
      <c r="J89" s="2">
        <f>IFERROR(VLOOKUP(C89,Merchants!$A$2:$D$41,3,FALSE),"Merchant not found")</f>
        <v/>
      </c>
      <c r="K89" s="2">
        <f>IFERROR(VLOOKUP(C89,Merchants!$A$2:$D$41,4,FALSE),"Merchant not found")</f>
        <v/>
      </c>
      <c r="L89" s="7">
        <f>DATE(YEAR(D89),MONTH(D89),DAY(D89))</f>
        <v/>
      </c>
      <c r="M89" s="5">
        <f>IFERROR(HLOOKUP(F89,Fee_Tiers!$B$1:$E$2,2,FALSE),"Fee tier not found")</f>
        <v/>
      </c>
      <c r="N89" s="8">
        <f>SUMIFS(Daily_Merchant!$C$2:$C$444,Daily_Merchant!$A$2:$A$444,C89,Daily_Merchant!$B$2:$B$444,L89)</f>
        <v/>
      </c>
      <c r="O89" s="2">
        <f>IF(AND(N89&gt;5000,K89&lt;&gt;"East"),"High-Value Merchant Day","")</f>
        <v/>
      </c>
    </row>
    <row r="90">
      <c r="A90" s="2" t="inlineStr">
        <is>
          <t>TXN100088</t>
        </is>
      </c>
      <c r="B90" s="2" t="n">
        <v>296</v>
      </c>
      <c r="C90" s="2" t="n">
        <v>4</v>
      </c>
      <c r="D90" s="12" t="n">
        <v>46035.62777777778</v>
      </c>
      <c r="E90" s="8" t="n">
        <v>799</v>
      </c>
      <c r="F90" s="2" t="inlineStr">
        <is>
          <t>Wallet</t>
        </is>
      </c>
      <c r="G90" s="2" t="inlineStr">
        <is>
          <t>captured</t>
        </is>
      </c>
      <c r="H90" s="2" t="n">
        <v>19</v>
      </c>
      <c r="I90" s="2">
        <f>IFERROR(VLOOKUP(C90,Merchants!$A$2:$D$41,2,FALSE),"Merchant not found")</f>
        <v/>
      </c>
      <c r="J90" s="2">
        <f>IFERROR(VLOOKUP(C90,Merchants!$A$2:$D$41,3,FALSE),"Merchant not found")</f>
        <v/>
      </c>
      <c r="K90" s="2">
        <f>IFERROR(VLOOKUP(C90,Merchants!$A$2:$D$41,4,FALSE),"Merchant not found")</f>
        <v/>
      </c>
      <c r="L90" s="7">
        <f>DATE(YEAR(D90),MONTH(D90),DAY(D90))</f>
        <v/>
      </c>
      <c r="M90" s="5">
        <f>IFERROR(HLOOKUP(F90,Fee_Tiers!$B$1:$E$2,2,FALSE),"Fee tier not found")</f>
        <v/>
      </c>
      <c r="N90" s="8">
        <f>SUMIFS(Daily_Merchant!$C$2:$C$444,Daily_Merchant!$A$2:$A$444,C90,Daily_Merchant!$B$2:$B$444,L90)</f>
        <v/>
      </c>
      <c r="O90" s="2">
        <f>IF(AND(N90&gt;5000,K90&lt;&gt;"East"),"High-Value Merchant Day","")</f>
        <v/>
      </c>
    </row>
    <row r="91">
      <c r="A91" s="2" t="inlineStr">
        <is>
          <t>TXN100089</t>
        </is>
      </c>
      <c r="B91" s="2" t="n">
        <v>44</v>
      </c>
      <c r="C91" s="2" t="n">
        <v>16</v>
      </c>
      <c r="D91" s="12" t="n">
        <v>46027.76319444444</v>
      </c>
      <c r="E91" s="8" t="n">
        <v>149</v>
      </c>
      <c r="F91" s="2" t="inlineStr">
        <is>
          <t>UPI</t>
        </is>
      </c>
      <c r="G91" s="2" t="inlineStr">
        <is>
          <t>captured</t>
        </is>
      </c>
      <c r="H91" s="2" t="n">
        <v>15</v>
      </c>
      <c r="I91" s="2">
        <f>IFERROR(VLOOKUP(C91,Merchants!$A$2:$D$41,2,FALSE),"Merchant not found")</f>
        <v/>
      </c>
      <c r="J91" s="2">
        <f>IFERROR(VLOOKUP(C91,Merchants!$A$2:$D$41,3,FALSE),"Merchant not found")</f>
        <v/>
      </c>
      <c r="K91" s="2">
        <f>IFERROR(VLOOKUP(C91,Merchants!$A$2:$D$41,4,FALSE),"Merchant not found")</f>
        <v/>
      </c>
      <c r="L91" s="7">
        <f>DATE(YEAR(D91),MONTH(D91),DAY(D91))</f>
        <v/>
      </c>
      <c r="M91" s="5">
        <f>IFERROR(HLOOKUP(F91,Fee_Tiers!$B$1:$E$2,2,FALSE),"Fee tier not found")</f>
        <v/>
      </c>
      <c r="N91" s="8">
        <f>SUMIFS(Daily_Merchant!$C$2:$C$444,Daily_Merchant!$A$2:$A$444,C91,Daily_Merchant!$B$2:$B$444,L91)</f>
        <v/>
      </c>
      <c r="O91" s="2">
        <f>IF(AND(N91&gt;5000,K91&lt;&gt;"East"),"High-Value Merchant Day","")</f>
        <v/>
      </c>
    </row>
    <row r="92">
      <c r="A92" s="2" t="inlineStr">
        <is>
          <t>TXN100090</t>
        </is>
      </c>
      <c r="B92" s="2" t="n">
        <v>306</v>
      </c>
      <c r="C92" s="2" t="n">
        <v>40</v>
      </c>
      <c r="D92" s="12" t="n">
        <v>46040.56805555556</v>
      </c>
      <c r="E92" s="8" t="n">
        <v>799</v>
      </c>
      <c r="F92" s="2" t="inlineStr">
        <is>
          <t>Card</t>
        </is>
      </c>
      <c r="G92" s="2" t="inlineStr">
        <is>
          <t>captured</t>
        </is>
      </c>
      <c r="H92" s="2" t="n">
        <v>28</v>
      </c>
      <c r="I92" s="2">
        <f>IFERROR(VLOOKUP(C92,Merchants!$A$2:$D$41,2,FALSE),"Merchant not found")</f>
        <v/>
      </c>
      <c r="J92" s="2">
        <f>IFERROR(VLOOKUP(C92,Merchants!$A$2:$D$41,3,FALSE),"Merchant not found")</f>
        <v/>
      </c>
      <c r="K92" s="2">
        <f>IFERROR(VLOOKUP(C92,Merchants!$A$2:$D$41,4,FALSE),"Merchant not found")</f>
        <v/>
      </c>
      <c r="L92" s="7">
        <f>DATE(YEAR(D92),MONTH(D92),DAY(D92))</f>
        <v/>
      </c>
      <c r="M92" s="5">
        <f>IFERROR(HLOOKUP(F92,Fee_Tiers!$B$1:$E$2,2,FALSE),"Fee tier not found")</f>
        <v/>
      </c>
      <c r="N92" s="8">
        <f>SUMIFS(Daily_Merchant!$C$2:$C$444,Daily_Merchant!$A$2:$A$444,C92,Daily_Merchant!$B$2:$B$444,L92)</f>
        <v/>
      </c>
      <c r="O92" s="2">
        <f>IF(AND(N92&gt;5000,K92&lt;&gt;"East"),"High-Value Merchant Day","")</f>
        <v/>
      </c>
    </row>
    <row r="93">
      <c r="A93" s="2" t="inlineStr">
        <is>
          <t>TXN100091</t>
        </is>
      </c>
      <c r="B93" s="2" t="n">
        <v>231</v>
      </c>
      <c r="C93" s="2" t="n">
        <v>29</v>
      </c>
      <c r="D93" s="12" t="n">
        <v>46047.68333333333</v>
      </c>
      <c r="E93" s="8" t="n">
        <v>299</v>
      </c>
      <c r="F93" s="2" t="inlineStr">
        <is>
          <t>UPI</t>
        </is>
      </c>
      <c r="G93" s="2" t="inlineStr">
        <is>
          <t>captured</t>
        </is>
      </c>
      <c r="H93" s="2" t="n">
        <v>38</v>
      </c>
      <c r="I93" s="2">
        <f>IFERROR(VLOOKUP(C93,Merchants!$A$2:$D$41,2,FALSE),"Merchant not found")</f>
        <v/>
      </c>
      <c r="J93" s="2">
        <f>IFERROR(VLOOKUP(C93,Merchants!$A$2:$D$41,3,FALSE),"Merchant not found")</f>
        <v/>
      </c>
      <c r="K93" s="2">
        <f>IFERROR(VLOOKUP(C93,Merchants!$A$2:$D$41,4,FALSE),"Merchant not found")</f>
        <v/>
      </c>
      <c r="L93" s="7">
        <f>DATE(YEAR(D93),MONTH(D93),DAY(D93))</f>
        <v/>
      </c>
      <c r="M93" s="5">
        <f>IFERROR(HLOOKUP(F93,Fee_Tiers!$B$1:$E$2,2,FALSE),"Fee tier not found")</f>
        <v/>
      </c>
      <c r="N93" s="8">
        <f>SUMIFS(Daily_Merchant!$C$2:$C$444,Daily_Merchant!$A$2:$A$444,C93,Daily_Merchant!$B$2:$B$444,L93)</f>
        <v/>
      </c>
      <c r="O93" s="2">
        <f>IF(AND(N93&gt;5000,K93&lt;&gt;"East"),"High-Value Merchant Day","")</f>
        <v/>
      </c>
    </row>
    <row r="94">
      <c r="A94" s="2" t="inlineStr">
        <is>
          <t>TXN100092</t>
        </is>
      </c>
      <c r="B94" s="2" t="n">
        <v>157</v>
      </c>
      <c r="C94" s="2" t="n">
        <v>37</v>
      </c>
      <c r="D94" s="12" t="n">
        <v>46050.76875</v>
      </c>
      <c r="E94" s="8" t="n">
        <v>499</v>
      </c>
      <c r="F94" s="2" t="inlineStr">
        <is>
          <t>Wallet</t>
        </is>
      </c>
      <c r="G94" s="2" t="inlineStr">
        <is>
          <t>captured</t>
        </is>
      </c>
      <c r="H94" s="2" t="n">
        <v>79</v>
      </c>
      <c r="I94" s="2">
        <f>IFERROR(VLOOKUP(C94,Merchants!$A$2:$D$41,2,FALSE),"Merchant not found")</f>
        <v/>
      </c>
      <c r="J94" s="2">
        <f>IFERROR(VLOOKUP(C94,Merchants!$A$2:$D$41,3,FALSE),"Merchant not found")</f>
        <v/>
      </c>
      <c r="K94" s="2">
        <f>IFERROR(VLOOKUP(C94,Merchants!$A$2:$D$41,4,FALSE),"Merchant not found")</f>
        <v/>
      </c>
      <c r="L94" s="7">
        <f>DATE(YEAR(D94),MONTH(D94),DAY(D94))</f>
        <v/>
      </c>
      <c r="M94" s="5">
        <f>IFERROR(HLOOKUP(F94,Fee_Tiers!$B$1:$E$2,2,FALSE),"Fee tier not found")</f>
        <v/>
      </c>
      <c r="N94" s="8">
        <f>SUMIFS(Daily_Merchant!$C$2:$C$444,Daily_Merchant!$A$2:$A$444,C94,Daily_Merchant!$B$2:$B$444,L94)</f>
        <v/>
      </c>
      <c r="O94" s="2">
        <f>IF(AND(N94&gt;5000,K94&lt;&gt;"East"),"High-Value Merchant Day","")</f>
        <v/>
      </c>
    </row>
    <row r="95">
      <c r="A95" s="2" t="inlineStr">
        <is>
          <t>TXN100093</t>
        </is>
      </c>
      <c r="B95" s="2" t="n">
        <v>51</v>
      </c>
      <c r="C95" s="2" t="n">
        <v>14</v>
      </c>
      <c r="D95" s="12" t="n">
        <v>46024.82430555556</v>
      </c>
      <c r="E95" s="8" t="n">
        <v>1499</v>
      </c>
      <c r="F95" s="2" t="inlineStr">
        <is>
          <t>UPI</t>
        </is>
      </c>
      <c r="G95" s="2" t="inlineStr">
        <is>
          <t>captured</t>
        </is>
      </c>
      <c r="H95" s="2" t="n">
        <v>80</v>
      </c>
      <c r="I95" s="2">
        <f>IFERROR(VLOOKUP(C95,Merchants!$A$2:$D$41,2,FALSE),"Merchant not found")</f>
        <v/>
      </c>
      <c r="J95" s="2">
        <f>IFERROR(VLOOKUP(C95,Merchants!$A$2:$D$41,3,FALSE),"Merchant not found")</f>
        <v/>
      </c>
      <c r="K95" s="2">
        <f>IFERROR(VLOOKUP(C95,Merchants!$A$2:$D$41,4,FALSE),"Merchant not found")</f>
        <v/>
      </c>
      <c r="L95" s="7">
        <f>DATE(YEAR(D95),MONTH(D95),DAY(D95))</f>
        <v/>
      </c>
      <c r="M95" s="5">
        <f>IFERROR(HLOOKUP(F95,Fee_Tiers!$B$1:$E$2,2,FALSE),"Fee tier not found")</f>
        <v/>
      </c>
      <c r="N95" s="8">
        <f>SUMIFS(Daily_Merchant!$C$2:$C$444,Daily_Merchant!$A$2:$A$444,C95,Daily_Merchant!$B$2:$B$444,L95)</f>
        <v/>
      </c>
      <c r="O95" s="2">
        <f>IF(AND(N95&gt;5000,K95&lt;&gt;"East"),"High-Value Merchant Day","")</f>
        <v/>
      </c>
    </row>
    <row r="96">
      <c r="A96" s="2" t="inlineStr">
        <is>
          <t>TXN100094</t>
        </is>
      </c>
      <c r="B96" s="2" t="n">
        <v>42</v>
      </c>
      <c r="C96" s="2" t="n">
        <v>11</v>
      </c>
      <c r="D96" s="12" t="n">
        <v>46029.3625</v>
      </c>
      <c r="E96" s="8" t="n">
        <v>49</v>
      </c>
      <c r="F96" s="2" t="inlineStr">
        <is>
          <t>Wallet</t>
        </is>
      </c>
      <c r="G96" s="2" t="inlineStr">
        <is>
          <t>captured</t>
        </is>
      </c>
      <c r="H96" s="2" t="n">
        <v>30</v>
      </c>
      <c r="I96" s="2">
        <f>IFERROR(VLOOKUP(C96,Merchants!$A$2:$D$41,2,FALSE),"Merchant not found")</f>
        <v/>
      </c>
      <c r="J96" s="2">
        <f>IFERROR(VLOOKUP(C96,Merchants!$A$2:$D$41,3,FALSE),"Merchant not found")</f>
        <v/>
      </c>
      <c r="K96" s="2">
        <f>IFERROR(VLOOKUP(C96,Merchants!$A$2:$D$41,4,FALSE),"Merchant not found")</f>
        <v/>
      </c>
      <c r="L96" s="7">
        <f>DATE(YEAR(D96),MONTH(D96),DAY(D96))</f>
        <v/>
      </c>
      <c r="M96" s="5">
        <f>IFERROR(HLOOKUP(F96,Fee_Tiers!$B$1:$E$2,2,FALSE),"Fee tier not found")</f>
        <v/>
      </c>
      <c r="N96" s="8">
        <f>SUMIFS(Daily_Merchant!$C$2:$C$444,Daily_Merchant!$A$2:$A$444,C96,Daily_Merchant!$B$2:$B$444,L96)</f>
        <v/>
      </c>
      <c r="O96" s="2">
        <f>IF(AND(N96&gt;5000,K96&lt;&gt;"East"),"High-Value Merchant Day","")</f>
        <v/>
      </c>
    </row>
    <row r="97">
      <c r="A97" s="2" t="inlineStr">
        <is>
          <t>TXN100095</t>
        </is>
      </c>
      <c r="B97" s="2" t="n">
        <v>81</v>
      </c>
      <c r="C97" s="2" t="n">
        <v>1</v>
      </c>
      <c r="D97" s="12" t="n">
        <v>46028.71111111111</v>
      </c>
      <c r="E97" s="8" t="n">
        <v>149</v>
      </c>
      <c r="F97" s="2" t="inlineStr">
        <is>
          <t>UPI</t>
        </is>
      </c>
      <c r="G97" s="2" t="inlineStr">
        <is>
          <t>captured</t>
        </is>
      </c>
      <c r="H97" s="2" t="n">
        <v>52</v>
      </c>
      <c r="I97" s="2">
        <f>IFERROR(VLOOKUP(C97,Merchants!$A$2:$D$41,2,FALSE),"Merchant not found")</f>
        <v/>
      </c>
      <c r="J97" s="2">
        <f>IFERROR(VLOOKUP(C97,Merchants!$A$2:$D$41,3,FALSE),"Merchant not found")</f>
        <v/>
      </c>
      <c r="K97" s="2">
        <f>IFERROR(VLOOKUP(C97,Merchants!$A$2:$D$41,4,FALSE),"Merchant not found")</f>
        <v/>
      </c>
      <c r="L97" s="7">
        <f>DATE(YEAR(D97),MONTH(D97),DAY(D97))</f>
        <v/>
      </c>
      <c r="M97" s="5">
        <f>IFERROR(HLOOKUP(F97,Fee_Tiers!$B$1:$E$2,2,FALSE),"Fee tier not found")</f>
        <v/>
      </c>
      <c r="N97" s="8">
        <f>SUMIFS(Daily_Merchant!$C$2:$C$444,Daily_Merchant!$A$2:$A$444,C97,Daily_Merchant!$B$2:$B$444,L97)</f>
        <v/>
      </c>
      <c r="O97" s="2">
        <f>IF(AND(N97&gt;5000,K97&lt;&gt;"East"),"High-Value Merchant Day","")</f>
        <v/>
      </c>
    </row>
    <row r="98">
      <c r="A98" s="2" t="inlineStr">
        <is>
          <t>TXN100096</t>
        </is>
      </c>
      <c r="B98" s="2" t="n">
        <v>241</v>
      </c>
      <c r="C98" s="2" t="n">
        <v>19</v>
      </c>
      <c r="D98" s="12" t="n">
        <v>46037.94305555556</v>
      </c>
      <c r="E98" s="8" t="n">
        <v>299</v>
      </c>
      <c r="F98" s="2" t="inlineStr">
        <is>
          <t>UPI</t>
        </is>
      </c>
      <c r="G98" s="2" t="inlineStr">
        <is>
          <t>captured</t>
        </is>
      </c>
      <c r="H98" s="2" t="n">
        <v>4</v>
      </c>
      <c r="I98" s="2">
        <f>IFERROR(VLOOKUP(C98,Merchants!$A$2:$D$41,2,FALSE),"Merchant not found")</f>
        <v/>
      </c>
      <c r="J98" s="2">
        <f>IFERROR(VLOOKUP(C98,Merchants!$A$2:$D$41,3,FALSE),"Merchant not found")</f>
        <v/>
      </c>
      <c r="K98" s="2">
        <f>IFERROR(VLOOKUP(C98,Merchants!$A$2:$D$41,4,FALSE),"Merchant not found")</f>
        <v/>
      </c>
      <c r="L98" s="7">
        <f>DATE(YEAR(D98),MONTH(D98),DAY(D98))</f>
        <v/>
      </c>
      <c r="M98" s="5">
        <f>IFERROR(HLOOKUP(F98,Fee_Tiers!$B$1:$E$2,2,FALSE),"Fee tier not found")</f>
        <v/>
      </c>
      <c r="N98" s="8">
        <f>SUMIFS(Daily_Merchant!$C$2:$C$444,Daily_Merchant!$A$2:$A$444,C98,Daily_Merchant!$B$2:$B$444,L98)</f>
        <v/>
      </c>
      <c r="O98" s="2">
        <f>IF(AND(N98&gt;5000,K98&lt;&gt;"East"),"High-Value Merchant Day","")</f>
        <v/>
      </c>
    </row>
    <row r="99">
      <c r="A99" s="2" t="inlineStr">
        <is>
          <t>TXN100097</t>
        </is>
      </c>
      <c r="B99" s="2" t="n">
        <v>145</v>
      </c>
      <c r="C99" s="2" t="n">
        <v>30</v>
      </c>
      <c r="D99" s="12" t="n">
        <v>46030.40625</v>
      </c>
      <c r="E99" s="8" t="n">
        <v>799</v>
      </c>
      <c r="F99" s="2" t="inlineStr">
        <is>
          <t>UPI</t>
        </is>
      </c>
      <c r="G99" s="2" t="inlineStr">
        <is>
          <t>captured</t>
        </is>
      </c>
      <c r="H99" s="2" t="n">
        <v>9</v>
      </c>
      <c r="I99" s="2">
        <f>IFERROR(VLOOKUP(C99,Merchants!$A$2:$D$41,2,FALSE),"Merchant not found")</f>
        <v/>
      </c>
      <c r="J99" s="2">
        <f>IFERROR(VLOOKUP(C99,Merchants!$A$2:$D$41,3,FALSE),"Merchant not found")</f>
        <v/>
      </c>
      <c r="K99" s="2">
        <f>IFERROR(VLOOKUP(C99,Merchants!$A$2:$D$41,4,FALSE),"Merchant not found")</f>
        <v/>
      </c>
      <c r="L99" s="7">
        <f>DATE(YEAR(D99),MONTH(D99),DAY(D99))</f>
        <v/>
      </c>
      <c r="M99" s="5">
        <f>IFERROR(HLOOKUP(F99,Fee_Tiers!$B$1:$E$2,2,FALSE),"Fee tier not found")</f>
        <v/>
      </c>
      <c r="N99" s="8">
        <f>SUMIFS(Daily_Merchant!$C$2:$C$444,Daily_Merchant!$A$2:$A$444,C99,Daily_Merchant!$B$2:$B$444,L99)</f>
        <v/>
      </c>
      <c r="O99" s="2">
        <f>IF(AND(N99&gt;5000,K99&lt;&gt;"East"),"High-Value Merchant Day","")</f>
        <v/>
      </c>
    </row>
    <row r="100">
      <c r="A100" s="2" t="inlineStr">
        <is>
          <t>TXN100098</t>
        </is>
      </c>
      <c r="B100" s="2" t="n">
        <v>136</v>
      </c>
      <c r="C100" s="2" t="n">
        <v>38</v>
      </c>
      <c r="D100" s="12" t="n">
        <v>46044.33263888889</v>
      </c>
      <c r="E100" s="8" t="n">
        <v>299</v>
      </c>
      <c r="F100" s="2" t="inlineStr">
        <is>
          <t>Card</t>
        </is>
      </c>
      <c r="G100" s="2" t="inlineStr">
        <is>
          <t>captured</t>
        </is>
      </c>
      <c r="H100" s="2" t="n">
        <v>84</v>
      </c>
      <c r="I100" s="2">
        <f>IFERROR(VLOOKUP(C100,Merchants!$A$2:$D$41,2,FALSE),"Merchant not found")</f>
        <v/>
      </c>
      <c r="J100" s="2">
        <f>IFERROR(VLOOKUP(C100,Merchants!$A$2:$D$41,3,FALSE),"Merchant not found")</f>
        <v/>
      </c>
      <c r="K100" s="2">
        <f>IFERROR(VLOOKUP(C100,Merchants!$A$2:$D$41,4,FALSE),"Merchant not found")</f>
        <v/>
      </c>
      <c r="L100" s="7">
        <f>DATE(YEAR(D100),MONTH(D100),DAY(D100))</f>
        <v/>
      </c>
      <c r="M100" s="5">
        <f>IFERROR(HLOOKUP(F100,Fee_Tiers!$B$1:$E$2,2,FALSE),"Fee tier not found")</f>
        <v/>
      </c>
      <c r="N100" s="8">
        <f>SUMIFS(Daily_Merchant!$C$2:$C$444,Daily_Merchant!$A$2:$A$444,C100,Daily_Merchant!$B$2:$B$444,L100)</f>
        <v/>
      </c>
      <c r="O100" s="2">
        <f>IF(AND(N100&gt;5000,K100&lt;&gt;"East"),"High-Value Merchant Day","")</f>
        <v/>
      </c>
    </row>
    <row r="101">
      <c r="A101" s="2" t="inlineStr">
        <is>
          <t>TXN100099</t>
        </is>
      </c>
      <c r="B101" s="2" t="n">
        <v>59</v>
      </c>
      <c r="C101" s="2" t="n">
        <v>35</v>
      </c>
      <c r="D101" s="12" t="n">
        <v>46048.26875</v>
      </c>
      <c r="E101" s="8" t="n">
        <v>499</v>
      </c>
      <c r="F101" s="2" t="inlineStr">
        <is>
          <t>UPI</t>
        </is>
      </c>
      <c r="G101" s="2" t="inlineStr">
        <is>
          <t>captured</t>
        </is>
      </c>
      <c r="H101" s="2" t="n">
        <v>28</v>
      </c>
      <c r="I101" s="2">
        <f>IFERROR(VLOOKUP(C101,Merchants!$A$2:$D$41,2,FALSE),"Merchant not found")</f>
        <v/>
      </c>
      <c r="J101" s="2">
        <f>IFERROR(VLOOKUP(C101,Merchants!$A$2:$D$41,3,FALSE),"Merchant not found")</f>
        <v/>
      </c>
      <c r="K101" s="2">
        <f>IFERROR(VLOOKUP(C101,Merchants!$A$2:$D$41,4,FALSE),"Merchant not found")</f>
        <v/>
      </c>
      <c r="L101" s="7">
        <f>DATE(YEAR(D101),MONTH(D101),DAY(D101))</f>
        <v/>
      </c>
      <c r="M101" s="5">
        <f>IFERROR(HLOOKUP(F101,Fee_Tiers!$B$1:$E$2,2,FALSE),"Fee tier not found")</f>
        <v/>
      </c>
      <c r="N101" s="8">
        <f>SUMIFS(Daily_Merchant!$C$2:$C$444,Daily_Merchant!$A$2:$A$444,C101,Daily_Merchant!$B$2:$B$444,L101)</f>
        <v/>
      </c>
      <c r="O101" s="2">
        <f>IF(AND(N101&gt;5000,K101&lt;&gt;"East"),"High-Value Merchant Day","")</f>
        <v/>
      </c>
    </row>
    <row r="102">
      <c r="A102" s="2" t="inlineStr">
        <is>
          <t>TXN100100</t>
        </is>
      </c>
      <c r="B102" s="2" t="n">
        <v>137</v>
      </c>
      <c r="C102" s="2" t="n">
        <v>10</v>
      </c>
      <c r="D102" s="12" t="n">
        <v>46043.20694444444</v>
      </c>
      <c r="E102" s="8" t="n">
        <v>299</v>
      </c>
      <c r="F102" s="2" t="inlineStr">
        <is>
          <t>UPI</t>
        </is>
      </c>
      <c r="G102" s="2" t="inlineStr">
        <is>
          <t>captured</t>
        </is>
      </c>
      <c r="H102" s="2" t="n">
        <v>9</v>
      </c>
      <c r="I102" s="2">
        <f>IFERROR(VLOOKUP(C102,Merchants!$A$2:$D$41,2,FALSE),"Merchant not found")</f>
        <v/>
      </c>
      <c r="J102" s="2">
        <f>IFERROR(VLOOKUP(C102,Merchants!$A$2:$D$41,3,FALSE),"Merchant not found")</f>
        <v/>
      </c>
      <c r="K102" s="2">
        <f>IFERROR(VLOOKUP(C102,Merchants!$A$2:$D$41,4,FALSE),"Merchant not found")</f>
        <v/>
      </c>
      <c r="L102" s="7">
        <f>DATE(YEAR(D102),MONTH(D102),DAY(D102))</f>
        <v/>
      </c>
      <c r="M102" s="5">
        <f>IFERROR(HLOOKUP(F102,Fee_Tiers!$B$1:$E$2,2,FALSE),"Fee tier not found")</f>
        <v/>
      </c>
      <c r="N102" s="8">
        <f>SUMIFS(Daily_Merchant!$C$2:$C$444,Daily_Merchant!$A$2:$A$444,C102,Daily_Merchant!$B$2:$B$444,L102)</f>
        <v/>
      </c>
      <c r="O102" s="2">
        <f>IF(AND(N102&gt;5000,K102&lt;&gt;"East"),"High-Value Merchant Day","")</f>
        <v/>
      </c>
    </row>
    <row r="103">
      <c r="A103" s="2" t="inlineStr">
        <is>
          <t>TXN100101</t>
        </is>
      </c>
      <c r="B103" s="2" t="n">
        <v>158</v>
      </c>
      <c r="C103" s="2" t="n">
        <v>39</v>
      </c>
      <c r="D103" s="12" t="n">
        <v>46024.24305555555</v>
      </c>
      <c r="E103" s="8" t="n">
        <v>499</v>
      </c>
      <c r="F103" s="2" t="inlineStr">
        <is>
          <t>Netbanking</t>
        </is>
      </c>
      <c r="G103" s="2" t="inlineStr">
        <is>
          <t>captured</t>
        </is>
      </c>
      <c r="H103" s="2" t="n">
        <v>95</v>
      </c>
      <c r="I103" s="2">
        <f>IFERROR(VLOOKUP(C103,Merchants!$A$2:$D$41,2,FALSE),"Merchant not found")</f>
        <v/>
      </c>
      <c r="J103" s="2">
        <f>IFERROR(VLOOKUP(C103,Merchants!$A$2:$D$41,3,FALSE),"Merchant not found")</f>
        <v/>
      </c>
      <c r="K103" s="2">
        <f>IFERROR(VLOOKUP(C103,Merchants!$A$2:$D$41,4,FALSE),"Merchant not found")</f>
        <v/>
      </c>
      <c r="L103" s="7">
        <f>DATE(YEAR(D103),MONTH(D103),DAY(D103))</f>
        <v/>
      </c>
      <c r="M103" s="5">
        <f>IFERROR(HLOOKUP(F103,Fee_Tiers!$B$1:$E$2,2,FALSE),"Fee tier not found")</f>
        <v/>
      </c>
      <c r="N103" s="8">
        <f>SUMIFS(Daily_Merchant!$C$2:$C$444,Daily_Merchant!$A$2:$A$444,C103,Daily_Merchant!$B$2:$B$444,L103)</f>
        <v/>
      </c>
      <c r="O103" s="2">
        <f>IF(AND(N103&gt;5000,K103&lt;&gt;"East"),"High-Value Merchant Day","")</f>
        <v/>
      </c>
    </row>
    <row r="104">
      <c r="A104" s="2" t="inlineStr">
        <is>
          <t>TXN100102</t>
        </is>
      </c>
      <c r="B104" s="2" t="n">
        <v>148</v>
      </c>
      <c r="C104" s="2" t="n">
        <v>29</v>
      </c>
      <c r="D104" s="12" t="n">
        <v>46049.79027777778</v>
      </c>
      <c r="E104" s="8" t="n">
        <v>99</v>
      </c>
      <c r="F104" s="2" t="inlineStr">
        <is>
          <t>Card</t>
        </is>
      </c>
      <c r="G104" s="2" t="inlineStr">
        <is>
          <t>captured</t>
        </is>
      </c>
      <c r="H104" s="2" t="n">
        <v>15</v>
      </c>
      <c r="I104" s="2">
        <f>IFERROR(VLOOKUP(C104,Merchants!$A$2:$D$41,2,FALSE),"Merchant not found")</f>
        <v/>
      </c>
      <c r="J104" s="2">
        <f>IFERROR(VLOOKUP(C104,Merchants!$A$2:$D$41,3,FALSE),"Merchant not found")</f>
        <v/>
      </c>
      <c r="K104" s="2">
        <f>IFERROR(VLOOKUP(C104,Merchants!$A$2:$D$41,4,FALSE),"Merchant not found")</f>
        <v/>
      </c>
      <c r="L104" s="7">
        <f>DATE(YEAR(D104),MONTH(D104),DAY(D104))</f>
        <v/>
      </c>
      <c r="M104" s="5">
        <f>IFERROR(HLOOKUP(F104,Fee_Tiers!$B$1:$E$2,2,FALSE),"Fee tier not found")</f>
        <v/>
      </c>
      <c r="N104" s="8">
        <f>SUMIFS(Daily_Merchant!$C$2:$C$444,Daily_Merchant!$A$2:$A$444,C104,Daily_Merchant!$B$2:$B$444,L104)</f>
        <v/>
      </c>
      <c r="O104" s="2">
        <f>IF(AND(N104&gt;5000,K104&lt;&gt;"East"),"High-Value Merchant Day","")</f>
        <v/>
      </c>
    </row>
    <row r="105">
      <c r="A105" s="2" t="inlineStr">
        <is>
          <t>TXN100103</t>
        </is>
      </c>
      <c r="B105" s="2" t="n">
        <v>207</v>
      </c>
      <c r="C105" s="2" t="n">
        <v>18</v>
      </c>
      <c r="D105" s="12" t="n">
        <v>46037.92986111111</v>
      </c>
      <c r="E105" s="8" t="n">
        <v>149</v>
      </c>
      <c r="F105" s="2" t="inlineStr">
        <is>
          <t>UPI</t>
        </is>
      </c>
      <c r="G105" s="2" t="inlineStr">
        <is>
          <t>captured</t>
        </is>
      </c>
      <c r="H105" s="2" t="n">
        <v>64</v>
      </c>
      <c r="I105" s="2">
        <f>IFERROR(VLOOKUP(C105,Merchants!$A$2:$D$41,2,FALSE),"Merchant not found")</f>
        <v/>
      </c>
      <c r="J105" s="2">
        <f>IFERROR(VLOOKUP(C105,Merchants!$A$2:$D$41,3,FALSE),"Merchant not found")</f>
        <v/>
      </c>
      <c r="K105" s="2">
        <f>IFERROR(VLOOKUP(C105,Merchants!$A$2:$D$41,4,FALSE),"Merchant not found")</f>
        <v/>
      </c>
      <c r="L105" s="7">
        <f>DATE(YEAR(D105),MONTH(D105),DAY(D105))</f>
        <v/>
      </c>
      <c r="M105" s="5">
        <f>IFERROR(HLOOKUP(F105,Fee_Tiers!$B$1:$E$2,2,FALSE),"Fee tier not found")</f>
        <v/>
      </c>
      <c r="N105" s="8">
        <f>SUMIFS(Daily_Merchant!$C$2:$C$444,Daily_Merchant!$A$2:$A$444,C105,Daily_Merchant!$B$2:$B$444,L105)</f>
        <v/>
      </c>
      <c r="O105" s="2">
        <f>IF(AND(N105&gt;5000,K105&lt;&gt;"East"),"High-Value Merchant Day","")</f>
        <v/>
      </c>
    </row>
    <row r="106">
      <c r="A106" s="2" t="inlineStr">
        <is>
          <t>TXN100104</t>
        </is>
      </c>
      <c r="B106" s="2" t="n">
        <v>42</v>
      </c>
      <c r="C106" s="2" t="n">
        <v>39</v>
      </c>
      <c r="D106" s="12" t="n">
        <v>46040.64444444444</v>
      </c>
      <c r="E106" s="8" t="n">
        <v>2999</v>
      </c>
      <c r="F106" s="2" t="inlineStr">
        <is>
          <t>Card</t>
        </is>
      </c>
      <c r="G106" s="2" t="inlineStr">
        <is>
          <t>captured</t>
        </is>
      </c>
      <c r="H106" s="2" t="n">
        <v>5</v>
      </c>
      <c r="I106" s="2">
        <f>IFERROR(VLOOKUP(C106,Merchants!$A$2:$D$41,2,FALSE),"Merchant not found")</f>
        <v/>
      </c>
      <c r="J106" s="2">
        <f>IFERROR(VLOOKUP(C106,Merchants!$A$2:$D$41,3,FALSE),"Merchant not found")</f>
        <v/>
      </c>
      <c r="K106" s="2">
        <f>IFERROR(VLOOKUP(C106,Merchants!$A$2:$D$41,4,FALSE),"Merchant not found")</f>
        <v/>
      </c>
      <c r="L106" s="7">
        <f>DATE(YEAR(D106),MONTH(D106),DAY(D106))</f>
        <v/>
      </c>
      <c r="M106" s="5">
        <f>IFERROR(HLOOKUP(F106,Fee_Tiers!$B$1:$E$2,2,FALSE),"Fee tier not found")</f>
        <v/>
      </c>
      <c r="N106" s="8">
        <f>SUMIFS(Daily_Merchant!$C$2:$C$444,Daily_Merchant!$A$2:$A$444,C106,Daily_Merchant!$B$2:$B$444,L106)</f>
        <v/>
      </c>
      <c r="O106" s="2">
        <f>IF(AND(N106&gt;5000,K106&lt;&gt;"East"),"High-Value Merchant Day","")</f>
        <v/>
      </c>
    </row>
    <row r="107">
      <c r="A107" s="2" t="inlineStr">
        <is>
          <t>TXN100105</t>
        </is>
      </c>
      <c r="B107" s="2" t="n">
        <v>166</v>
      </c>
      <c r="C107" s="2" t="n">
        <v>39</v>
      </c>
      <c r="D107" s="12" t="n">
        <v>46051.57430555556</v>
      </c>
      <c r="E107" s="8" t="n">
        <v>149</v>
      </c>
      <c r="F107" s="2" t="inlineStr">
        <is>
          <t>UPI</t>
        </is>
      </c>
      <c r="G107" s="2" t="inlineStr">
        <is>
          <t>captured</t>
        </is>
      </c>
      <c r="H107" s="2" t="n">
        <v>32</v>
      </c>
      <c r="I107" s="2">
        <f>IFERROR(VLOOKUP(C107,Merchants!$A$2:$D$41,2,FALSE),"Merchant not found")</f>
        <v/>
      </c>
      <c r="J107" s="2">
        <f>IFERROR(VLOOKUP(C107,Merchants!$A$2:$D$41,3,FALSE),"Merchant not found")</f>
        <v/>
      </c>
      <c r="K107" s="2">
        <f>IFERROR(VLOOKUP(C107,Merchants!$A$2:$D$41,4,FALSE),"Merchant not found")</f>
        <v/>
      </c>
      <c r="L107" s="7">
        <f>DATE(YEAR(D107),MONTH(D107),DAY(D107))</f>
        <v/>
      </c>
      <c r="M107" s="5">
        <f>IFERROR(HLOOKUP(F107,Fee_Tiers!$B$1:$E$2,2,FALSE),"Fee tier not found")</f>
        <v/>
      </c>
      <c r="N107" s="8">
        <f>SUMIFS(Daily_Merchant!$C$2:$C$444,Daily_Merchant!$A$2:$A$444,C107,Daily_Merchant!$B$2:$B$444,L107)</f>
        <v/>
      </c>
      <c r="O107" s="2">
        <f>IF(AND(N107&gt;5000,K107&lt;&gt;"East"),"High-Value Merchant Day","")</f>
        <v/>
      </c>
    </row>
    <row r="108">
      <c r="A108" s="2" t="inlineStr">
        <is>
          <t>TXN100106</t>
        </is>
      </c>
      <c r="B108" s="2" t="n">
        <v>346</v>
      </c>
      <c r="C108" s="2" t="n">
        <v>37</v>
      </c>
      <c r="D108" s="12" t="n">
        <v>46023.09305555555</v>
      </c>
      <c r="E108" s="8" t="n">
        <v>99</v>
      </c>
      <c r="F108" s="2" t="inlineStr">
        <is>
          <t>UPI</t>
        </is>
      </c>
      <c r="G108" s="2" t="inlineStr">
        <is>
          <t>captured</t>
        </is>
      </c>
      <c r="H108" s="2" t="n">
        <v>75</v>
      </c>
      <c r="I108" s="2">
        <f>IFERROR(VLOOKUP(C108,Merchants!$A$2:$D$41,2,FALSE),"Merchant not found")</f>
        <v/>
      </c>
      <c r="J108" s="2">
        <f>IFERROR(VLOOKUP(C108,Merchants!$A$2:$D$41,3,FALSE),"Merchant not found")</f>
        <v/>
      </c>
      <c r="K108" s="2">
        <f>IFERROR(VLOOKUP(C108,Merchants!$A$2:$D$41,4,FALSE),"Merchant not found")</f>
        <v/>
      </c>
      <c r="L108" s="7">
        <f>DATE(YEAR(D108),MONTH(D108),DAY(D108))</f>
        <v/>
      </c>
      <c r="M108" s="5">
        <f>IFERROR(HLOOKUP(F108,Fee_Tiers!$B$1:$E$2,2,FALSE),"Fee tier not found")</f>
        <v/>
      </c>
      <c r="N108" s="8">
        <f>SUMIFS(Daily_Merchant!$C$2:$C$444,Daily_Merchant!$A$2:$A$444,C108,Daily_Merchant!$B$2:$B$444,L108)</f>
        <v/>
      </c>
      <c r="O108" s="2">
        <f>IF(AND(N108&gt;5000,K108&lt;&gt;"East"),"High-Value Merchant Day","")</f>
        <v/>
      </c>
    </row>
    <row r="109">
      <c r="A109" s="2" t="inlineStr">
        <is>
          <t>TXN100107</t>
        </is>
      </c>
      <c r="B109" s="2" t="n">
        <v>138</v>
      </c>
      <c r="C109" s="2" t="n">
        <v>37</v>
      </c>
      <c r="D109" s="12" t="n">
        <v>46023.91111111111</v>
      </c>
      <c r="E109" s="8" t="n">
        <v>499</v>
      </c>
      <c r="F109" s="2" t="inlineStr">
        <is>
          <t>UPI</t>
        </is>
      </c>
      <c r="G109" s="2" t="inlineStr">
        <is>
          <t>captured</t>
        </is>
      </c>
      <c r="H109" s="2" t="n">
        <v>5</v>
      </c>
      <c r="I109" s="2">
        <f>IFERROR(VLOOKUP(C109,Merchants!$A$2:$D$41,2,FALSE),"Merchant not found")</f>
        <v/>
      </c>
      <c r="J109" s="2">
        <f>IFERROR(VLOOKUP(C109,Merchants!$A$2:$D$41,3,FALSE),"Merchant not found")</f>
        <v/>
      </c>
      <c r="K109" s="2">
        <f>IFERROR(VLOOKUP(C109,Merchants!$A$2:$D$41,4,FALSE),"Merchant not found")</f>
        <v/>
      </c>
      <c r="L109" s="7">
        <f>DATE(YEAR(D109),MONTH(D109),DAY(D109))</f>
        <v/>
      </c>
      <c r="M109" s="5">
        <f>IFERROR(HLOOKUP(F109,Fee_Tiers!$B$1:$E$2,2,FALSE),"Fee tier not found")</f>
        <v/>
      </c>
      <c r="N109" s="8">
        <f>SUMIFS(Daily_Merchant!$C$2:$C$444,Daily_Merchant!$A$2:$A$444,C109,Daily_Merchant!$B$2:$B$444,L109)</f>
        <v/>
      </c>
      <c r="O109" s="2">
        <f>IF(AND(N109&gt;5000,K109&lt;&gt;"East"),"High-Value Merchant Day","")</f>
        <v/>
      </c>
    </row>
    <row r="110">
      <c r="A110" s="2" t="inlineStr">
        <is>
          <t>TXN100108</t>
        </is>
      </c>
      <c r="B110" s="2" t="n">
        <v>266</v>
      </c>
      <c r="C110" s="2" t="n">
        <v>29</v>
      </c>
      <c r="D110" s="12" t="n">
        <v>46047.22916666666</v>
      </c>
      <c r="E110" s="8" t="n">
        <v>499</v>
      </c>
      <c r="F110" s="2" t="inlineStr">
        <is>
          <t>Wallet</t>
        </is>
      </c>
      <c r="G110" s="2" t="inlineStr">
        <is>
          <t>failed</t>
        </is>
      </c>
      <c r="H110" s="2" t="n">
        <v>35</v>
      </c>
      <c r="I110" s="2">
        <f>IFERROR(VLOOKUP(C110,Merchants!$A$2:$D$41,2,FALSE),"Merchant not found")</f>
        <v/>
      </c>
      <c r="J110" s="2">
        <f>IFERROR(VLOOKUP(C110,Merchants!$A$2:$D$41,3,FALSE),"Merchant not found")</f>
        <v/>
      </c>
      <c r="K110" s="2">
        <f>IFERROR(VLOOKUP(C110,Merchants!$A$2:$D$41,4,FALSE),"Merchant not found")</f>
        <v/>
      </c>
      <c r="L110" s="7">
        <f>DATE(YEAR(D110),MONTH(D110),DAY(D110))</f>
        <v/>
      </c>
      <c r="M110" s="5">
        <f>IFERROR(HLOOKUP(F110,Fee_Tiers!$B$1:$E$2,2,FALSE),"Fee tier not found")</f>
        <v/>
      </c>
      <c r="N110" s="8">
        <f>SUMIFS(Daily_Merchant!$C$2:$C$444,Daily_Merchant!$A$2:$A$444,C110,Daily_Merchant!$B$2:$B$444,L110)</f>
        <v/>
      </c>
      <c r="O110" s="2">
        <f>IF(AND(N110&gt;5000,K110&lt;&gt;"East"),"High-Value Merchant Day","")</f>
        <v/>
      </c>
    </row>
    <row r="111">
      <c r="A111" s="2" t="inlineStr">
        <is>
          <t>TXN100109</t>
        </is>
      </c>
      <c r="B111" s="2" t="n">
        <v>326</v>
      </c>
      <c r="C111" s="2" t="n">
        <v>32</v>
      </c>
      <c r="D111" s="12" t="n">
        <v>46028.76875</v>
      </c>
      <c r="E111" s="8" t="n">
        <v>149</v>
      </c>
      <c r="F111" s="2" t="inlineStr">
        <is>
          <t>UPI</t>
        </is>
      </c>
      <c r="G111" s="2" t="inlineStr">
        <is>
          <t>captured</t>
        </is>
      </c>
      <c r="H111" s="2" t="n">
        <v>11</v>
      </c>
      <c r="I111" s="2">
        <f>IFERROR(VLOOKUP(C111,Merchants!$A$2:$D$41,2,FALSE),"Merchant not found")</f>
        <v/>
      </c>
      <c r="J111" s="2">
        <f>IFERROR(VLOOKUP(C111,Merchants!$A$2:$D$41,3,FALSE),"Merchant not found")</f>
        <v/>
      </c>
      <c r="K111" s="2">
        <f>IFERROR(VLOOKUP(C111,Merchants!$A$2:$D$41,4,FALSE),"Merchant not found")</f>
        <v/>
      </c>
      <c r="L111" s="7">
        <f>DATE(YEAR(D111),MONTH(D111),DAY(D111))</f>
        <v/>
      </c>
      <c r="M111" s="5">
        <f>IFERROR(HLOOKUP(F111,Fee_Tiers!$B$1:$E$2,2,FALSE),"Fee tier not found")</f>
        <v/>
      </c>
      <c r="N111" s="8">
        <f>SUMIFS(Daily_Merchant!$C$2:$C$444,Daily_Merchant!$A$2:$A$444,C111,Daily_Merchant!$B$2:$B$444,L111)</f>
        <v/>
      </c>
      <c r="O111" s="2">
        <f>IF(AND(N111&gt;5000,K111&lt;&gt;"East"),"High-Value Merchant Day","")</f>
        <v/>
      </c>
    </row>
    <row r="112">
      <c r="A112" s="2" t="inlineStr">
        <is>
          <t>TXN100110</t>
        </is>
      </c>
      <c r="B112" s="2" t="n">
        <v>171</v>
      </c>
      <c r="C112" s="2" t="n">
        <v>21</v>
      </c>
      <c r="D112" s="12" t="n">
        <v>46038.47638888889</v>
      </c>
      <c r="E112" s="8" t="n">
        <v>799</v>
      </c>
      <c r="F112" s="2" t="inlineStr">
        <is>
          <t>UPI</t>
        </is>
      </c>
      <c r="G112" s="2" t="inlineStr">
        <is>
          <t>captured</t>
        </is>
      </c>
      <c r="H112" s="2" t="n">
        <v>85</v>
      </c>
      <c r="I112" s="2">
        <f>IFERROR(VLOOKUP(C112,Merchants!$A$2:$D$41,2,FALSE),"Merchant not found")</f>
        <v/>
      </c>
      <c r="J112" s="2">
        <f>IFERROR(VLOOKUP(C112,Merchants!$A$2:$D$41,3,FALSE),"Merchant not found")</f>
        <v/>
      </c>
      <c r="K112" s="2">
        <f>IFERROR(VLOOKUP(C112,Merchants!$A$2:$D$41,4,FALSE),"Merchant not found")</f>
        <v/>
      </c>
      <c r="L112" s="7">
        <f>DATE(YEAR(D112),MONTH(D112),DAY(D112))</f>
        <v/>
      </c>
      <c r="M112" s="5">
        <f>IFERROR(HLOOKUP(F112,Fee_Tiers!$B$1:$E$2,2,FALSE),"Fee tier not found")</f>
        <v/>
      </c>
      <c r="N112" s="8">
        <f>SUMIFS(Daily_Merchant!$C$2:$C$444,Daily_Merchant!$A$2:$A$444,C112,Daily_Merchant!$B$2:$B$444,L112)</f>
        <v/>
      </c>
      <c r="O112" s="2">
        <f>IF(AND(N112&gt;5000,K112&lt;&gt;"East"),"High-Value Merchant Day","")</f>
        <v/>
      </c>
    </row>
    <row r="113">
      <c r="A113" s="2" t="inlineStr">
        <is>
          <t>TXN100111</t>
        </is>
      </c>
      <c r="B113" s="2" t="n">
        <v>211</v>
      </c>
      <c r="C113" s="2" t="n">
        <v>32</v>
      </c>
      <c r="D113" s="12" t="n">
        <v>46026.22291666667</v>
      </c>
      <c r="E113" s="8" t="n">
        <v>49</v>
      </c>
      <c r="F113" s="2" t="inlineStr">
        <is>
          <t>UPI</t>
        </is>
      </c>
      <c r="G113" s="2" t="inlineStr">
        <is>
          <t>captured</t>
        </is>
      </c>
      <c r="H113" s="2" t="n">
        <v>36</v>
      </c>
      <c r="I113" s="2">
        <f>IFERROR(VLOOKUP(C113,Merchants!$A$2:$D$41,2,FALSE),"Merchant not found")</f>
        <v/>
      </c>
      <c r="J113" s="2">
        <f>IFERROR(VLOOKUP(C113,Merchants!$A$2:$D$41,3,FALSE),"Merchant not found")</f>
        <v/>
      </c>
      <c r="K113" s="2">
        <f>IFERROR(VLOOKUP(C113,Merchants!$A$2:$D$41,4,FALSE),"Merchant not found")</f>
        <v/>
      </c>
      <c r="L113" s="7">
        <f>DATE(YEAR(D113),MONTH(D113),DAY(D113))</f>
        <v/>
      </c>
      <c r="M113" s="5">
        <f>IFERROR(HLOOKUP(F113,Fee_Tiers!$B$1:$E$2,2,FALSE),"Fee tier not found")</f>
        <v/>
      </c>
      <c r="N113" s="8">
        <f>SUMIFS(Daily_Merchant!$C$2:$C$444,Daily_Merchant!$A$2:$A$444,C113,Daily_Merchant!$B$2:$B$444,L113)</f>
        <v/>
      </c>
      <c r="O113" s="2">
        <f>IF(AND(N113&gt;5000,K113&lt;&gt;"East"),"High-Value Merchant Day","")</f>
        <v/>
      </c>
    </row>
    <row r="114">
      <c r="A114" s="2" t="inlineStr">
        <is>
          <t>TXN100112</t>
        </is>
      </c>
      <c r="B114" s="2" t="n">
        <v>282</v>
      </c>
      <c r="C114" s="2" t="n">
        <v>3</v>
      </c>
      <c r="D114" s="12" t="n">
        <v>46044.53611111111</v>
      </c>
      <c r="E114" s="8" t="n">
        <v>499</v>
      </c>
      <c r="F114" s="2" t="inlineStr">
        <is>
          <t>UPI</t>
        </is>
      </c>
      <c r="G114" s="2" t="inlineStr">
        <is>
          <t>captured</t>
        </is>
      </c>
      <c r="H114" s="2" t="n">
        <v>58</v>
      </c>
      <c r="I114" s="2">
        <f>IFERROR(VLOOKUP(C114,Merchants!$A$2:$D$41,2,FALSE),"Merchant not found")</f>
        <v/>
      </c>
      <c r="J114" s="2">
        <f>IFERROR(VLOOKUP(C114,Merchants!$A$2:$D$41,3,FALSE),"Merchant not found")</f>
        <v/>
      </c>
      <c r="K114" s="2">
        <f>IFERROR(VLOOKUP(C114,Merchants!$A$2:$D$41,4,FALSE),"Merchant not found")</f>
        <v/>
      </c>
      <c r="L114" s="7">
        <f>DATE(YEAR(D114),MONTH(D114),DAY(D114))</f>
        <v/>
      </c>
      <c r="M114" s="5">
        <f>IFERROR(HLOOKUP(F114,Fee_Tiers!$B$1:$E$2,2,FALSE),"Fee tier not found")</f>
        <v/>
      </c>
      <c r="N114" s="8">
        <f>SUMIFS(Daily_Merchant!$C$2:$C$444,Daily_Merchant!$A$2:$A$444,C114,Daily_Merchant!$B$2:$B$444,L114)</f>
        <v/>
      </c>
      <c r="O114" s="2">
        <f>IF(AND(N114&gt;5000,K114&lt;&gt;"East"),"High-Value Merchant Day","")</f>
        <v/>
      </c>
    </row>
    <row r="115">
      <c r="A115" s="2" t="inlineStr">
        <is>
          <t>TXN100113</t>
        </is>
      </c>
      <c r="B115" s="2" t="n">
        <v>166</v>
      </c>
      <c r="C115" s="2" t="n">
        <v>8</v>
      </c>
      <c r="D115" s="12" t="n">
        <v>46025.42777777778</v>
      </c>
      <c r="E115" s="8" t="n">
        <v>299</v>
      </c>
      <c r="F115" s="2" t="inlineStr">
        <is>
          <t>UPI</t>
        </is>
      </c>
      <c r="G115" s="2" t="inlineStr">
        <is>
          <t>captured</t>
        </is>
      </c>
      <c r="H115" s="2" t="n">
        <v>98</v>
      </c>
      <c r="I115" s="2">
        <f>IFERROR(VLOOKUP(C115,Merchants!$A$2:$D$41,2,FALSE),"Merchant not found")</f>
        <v/>
      </c>
      <c r="J115" s="2">
        <f>IFERROR(VLOOKUP(C115,Merchants!$A$2:$D$41,3,FALSE),"Merchant not found")</f>
        <v/>
      </c>
      <c r="K115" s="2">
        <f>IFERROR(VLOOKUP(C115,Merchants!$A$2:$D$41,4,FALSE),"Merchant not found")</f>
        <v/>
      </c>
      <c r="L115" s="7">
        <f>DATE(YEAR(D115),MONTH(D115),DAY(D115))</f>
        <v/>
      </c>
      <c r="M115" s="5">
        <f>IFERROR(HLOOKUP(F115,Fee_Tiers!$B$1:$E$2,2,FALSE),"Fee tier not found")</f>
        <v/>
      </c>
      <c r="N115" s="8">
        <f>SUMIFS(Daily_Merchant!$C$2:$C$444,Daily_Merchant!$A$2:$A$444,C115,Daily_Merchant!$B$2:$B$444,L115)</f>
        <v/>
      </c>
      <c r="O115" s="2">
        <f>IF(AND(N115&gt;5000,K115&lt;&gt;"East"),"High-Value Merchant Day","")</f>
        <v/>
      </c>
    </row>
    <row r="116">
      <c r="A116" s="2" t="inlineStr">
        <is>
          <t>TXN100114</t>
        </is>
      </c>
      <c r="B116" s="2" t="n">
        <v>1</v>
      </c>
      <c r="C116" s="2" t="n">
        <v>35</v>
      </c>
      <c r="D116" s="12" t="n">
        <v>46035.70277777778</v>
      </c>
      <c r="E116" s="8" t="n">
        <v>149</v>
      </c>
      <c r="F116" s="2" t="inlineStr">
        <is>
          <t>UPI</t>
        </is>
      </c>
      <c r="G116" s="2" t="inlineStr">
        <is>
          <t>captured</t>
        </is>
      </c>
      <c r="H116" s="2" t="n">
        <v>59</v>
      </c>
      <c r="I116" s="2">
        <f>IFERROR(VLOOKUP(C116,Merchants!$A$2:$D$41,2,FALSE),"Merchant not found")</f>
        <v/>
      </c>
      <c r="J116" s="2">
        <f>IFERROR(VLOOKUP(C116,Merchants!$A$2:$D$41,3,FALSE),"Merchant not found")</f>
        <v/>
      </c>
      <c r="K116" s="2">
        <f>IFERROR(VLOOKUP(C116,Merchants!$A$2:$D$41,4,FALSE),"Merchant not found")</f>
        <v/>
      </c>
      <c r="L116" s="7">
        <f>DATE(YEAR(D116),MONTH(D116),DAY(D116))</f>
        <v/>
      </c>
      <c r="M116" s="5">
        <f>IFERROR(HLOOKUP(F116,Fee_Tiers!$B$1:$E$2,2,FALSE),"Fee tier not found")</f>
        <v/>
      </c>
      <c r="N116" s="8">
        <f>SUMIFS(Daily_Merchant!$C$2:$C$444,Daily_Merchant!$A$2:$A$444,C116,Daily_Merchant!$B$2:$B$444,L116)</f>
        <v/>
      </c>
      <c r="O116" s="2">
        <f>IF(AND(N116&gt;5000,K116&lt;&gt;"East"),"High-Value Merchant Day","")</f>
        <v/>
      </c>
    </row>
    <row r="117">
      <c r="A117" s="2" t="inlineStr">
        <is>
          <t>TXN100115</t>
        </is>
      </c>
      <c r="B117" s="2" t="n">
        <v>266</v>
      </c>
      <c r="C117" s="2" t="n">
        <v>24</v>
      </c>
      <c r="D117" s="12" t="n">
        <v>46036.05</v>
      </c>
      <c r="E117" s="8" t="n">
        <v>499</v>
      </c>
      <c r="F117" s="2" t="inlineStr">
        <is>
          <t>UPI</t>
        </is>
      </c>
      <c r="G117" s="2" t="inlineStr">
        <is>
          <t>captured</t>
        </is>
      </c>
      <c r="H117" s="2" t="n">
        <v>79</v>
      </c>
      <c r="I117" s="2">
        <f>IFERROR(VLOOKUP(C117,Merchants!$A$2:$D$41,2,FALSE),"Merchant not found")</f>
        <v/>
      </c>
      <c r="J117" s="2">
        <f>IFERROR(VLOOKUP(C117,Merchants!$A$2:$D$41,3,FALSE),"Merchant not found")</f>
        <v/>
      </c>
      <c r="K117" s="2">
        <f>IFERROR(VLOOKUP(C117,Merchants!$A$2:$D$41,4,FALSE),"Merchant not found")</f>
        <v/>
      </c>
      <c r="L117" s="7">
        <f>DATE(YEAR(D117),MONTH(D117),DAY(D117))</f>
        <v/>
      </c>
      <c r="M117" s="5">
        <f>IFERROR(HLOOKUP(F117,Fee_Tiers!$B$1:$E$2,2,FALSE),"Fee tier not found")</f>
        <v/>
      </c>
      <c r="N117" s="8">
        <f>SUMIFS(Daily_Merchant!$C$2:$C$444,Daily_Merchant!$A$2:$A$444,C117,Daily_Merchant!$B$2:$B$444,L117)</f>
        <v/>
      </c>
      <c r="O117" s="2">
        <f>IF(AND(N117&gt;5000,K117&lt;&gt;"East"),"High-Value Merchant Day","")</f>
        <v/>
      </c>
    </row>
    <row r="118">
      <c r="A118" s="2" t="inlineStr">
        <is>
          <t>TXN100116</t>
        </is>
      </c>
      <c r="B118" s="2" t="n">
        <v>227</v>
      </c>
      <c r="C118" s="2" t="n">
        <v>4</v>
      </c>
      <c r="D118" s="12" t="n">
        <v>46047.65277777778</v>
      </c>
      <c r="E118" s="8" t="n">
        <v>499</v>
      </c>
      <c r="F118" s="2" t="inlineStr">
        <is>
          <t>UPI</t>
        </is>
      </c>
      <c r="G118" s="2" t="inlineStr">
        <is>
          <t>captured</t>
        </is>
      </c>
      <c r="H118" s="2" t="n">
        <v>26</v>
      </c>
      <c r="I118" s="2">
        <f>IFERROR(VLOOKUP(C118,Merchants!$A$2:$D$41,2,FALSE),"Merchant not found")</f>
        <v/>
      </c>
      <c r="J118" s="2">
        <f>IFERROR(VLOOKUP(C118,Merchants!$A$2:$D$41,3,FALSE),"Merchant not found")</f>
        <v/>
      </c>
      <c r="K118" s="2">
        <f>IFERROR(VLOOKUP(C118,Merchants!$A$2:$D$41,4,FALSE),"Merchant not found")</f>
        <v/>
      </c>
      <c r="L118" s="7">
        <f>DATE(YEAR(D118),MONTH(D118),DAY(D118))</f>
        <v/>
      </c>
      <c r="M118" s="5">
        <f>IFERROR(HLOOKUP(F118,Fee_Tiers!$B$1:$E$2,2,FALSE),"Fee tier not found")</f>
        <v/>
      </c>
      <c r="N118" s="8">
        <f>SUMIFS(Daily_Merchant!$C$2:$C$444,Daily_Merchant!$A$2:$A$444,C118,Daily_Merchant!$B$2:$B$444,L118)</f>
        <v/>
      </c>
      <c r="O118" s="2">
        <f>IF(AND(N118&gt;5000,K118&lt;&gt;"East"),"High-Value Merchant Day","")</f>
        <v/>
      </c>
    </row>
    <row r="119">
      <c r="A119" s="2" t="inlineStr">
        <is>
          <t>TXN100117</t>
        </is>
      </c>
      <c r="B119" s="2" t="n">
        <v>148</v>
      </c>
      <c r="C119" s="2" t="n">
        <v>29</v>
      </c>
      <c r="D119" s="12" t="n">
        <v>46031.71388888889</v>
      </c>
      <c r="E119" s="8" t="n">
        <v>499</v>
      </c>
      <c r="F119" s="2" t="inlineStr">
        <is>
          <t>UPI</t>
        </is>
      </c>
      <c r="G119" s="2" t="inlineStr">
        <is>
          <t>captured</t>
        </is>
      </c>
      <c r="H119" s="2" t="n">
        <v>89</v>
      </c>
      <c r="I119" s="2">
        <f>IFERROR(VLOOKUP(C119,Merchants!$A$2:$D$41,2,FALSE),"Merchant not found")</f>
        <v/>
      </c>
      <c r="J119" s="2">
        <f>IFERROR(VLOOKUP(C119,Merchants!$A$2:$D$41,3,FALSE),"Merchant not found")</f>
        <v/>
      </c>
      <c r="K119" s="2">
        <f>IFERROR(VLOOKUP(C119,Merchants!$A$2:$D$41,4,FALSE),"Merchant not found")</f>
        <v/>
      </c>
      <c r="L119" s="7">
        <f>DATE(YEAR(D119),MONTH(D119),DAY(D119))</f>
        <v/>
      </c>
      <c r="M119" s="5">
        <f>IFERROR(HLOOKUP(F119,Fee_Tiers!$B$1:$E$2,2,FALSE),"Fee tier not found")</f>
        <v/>
      </c>
      <c r="N119" s="8">
        <f>SUMIFS(Daily_Merchant!$C$2:$C$444,Daily_Merchant!$A$2:$A$444,C119,Daily_Merchant!$B$2:$B$444,L119)</f>
        <v/>
      </c>
      <c r="O119" s="2">
        <f>IF(AND(N119&gt;5000,K119&lt;&gt;"East"),"High-Value Merchant Day","")</f>
        <v/>
      </c>
    </row>
    <row r="120">
      <c r="A120" s="2" t="inlineStr">
        <is>
          <t>TXN100118</t>
        </is>
      </c>
      <c r="B120" s="2" t="n">
        <v>323</v>
      </c>
      <c r="C120" s="2" t="n">
        <v>39</v>
      </c>
      <c r="D120" s="12" t="n">
        <v>46038.12569444445</v>
      </c>
      <c r="E120" s="8" t="n">
        <v>499</v>
      </c>
      <c r="F120" s="2" t="inlineStr">
        <is>
          <t>UPI</t>
        </is>
      </c>
      <c r="G120" s="2" t="inlineStr">
        <is>
          <t>captured</t>
        </is>
      </c>
      <c r="H120" s="2" t="n">
        <v>30</v>
      </c>
      <c r="I120" s="2">
        <f>IFERROR(VLOOKUP(C120,Merchants!$A$2:$D$41,2,FALSE),"Merchant not found")</f>
        <v/>
      </c>
      <c r="J120" s="2">
        <f>IFERROR(VLOOKUP(C120,Merchants!$A$2:$D$41,3,FALSE),"Merchant not found")</f>
        <v/>
      </c>
      <c r="K120" s="2">
        <f>IFERROR(VLOOKUP(C120,Merchants!$A$2:$D$41,4,FALSE),"Merchant not found")</f>
        <v/>
      </c>
      <c r="L120" s="7">
        <f>DATE(YEAR(D120),MONTH(D120),DAY(D120))</f>
        <v/>
      </c>
      <c r="M120" s="5">
        <f>IFERROR(HLOOKUP(F120,Fee_Tiers!$B$1:$E$2,2,FALSE),"Fee tier not found")</f>
        <v/>
      </c>
      <c r="N120" s="8">
        <f>SUMIFS(Daily_Merchant!$C$2:$C$444,Daily_Merchant!$A$2:$A$444,C120,Daily_Merchant!$B$2:$B$444,L120)</f>
        <v/>
      </c>
      <c r="O120" s="2">
        <f>IF(AND(N120&gt;5000,K120&lt;&gt;"East"),"High-Value Merchant Day","")</f>
        <v/>
      </c>
    </row>
    <row r="121">
      <c r="A121" s="2" t="inlineStr">
        <is>
          <t>TXN100119</t>
        </is>
      </c>
      <c r="B121" s="2" t="n">
        <v>283</v>
      </c>
      <c r="C121" s="2" t="n">
        <v>1</v>
      </c>
      <c r="D121" s="12" t="n">
        <v>46045.22152777778</v>
      </c>
      <c r="E121" s="8" t="n">
        <v>2999</v>
      </c>
      <c r="F121" s="2" t="inlineStr">
        <is>
          <t>Wallet</t>
        </is>
      </c>
      <c r="G121" s="2" t="inlineStr">
        <is>
          <t>captured</t>
        </is>
      </c>
      <c r="H121" s="2" t="n">
        <v>70</v>
      </c>
      <c r="I121" s="2">
        <f>IFERROR(VLOOKUP(C121,Merchants!$A$2:$D$41,2,FALSE),"Merchant not found")</f>
        <v/>
      </c>
      <c r="J121" s="2">
        <f>IFERROR(VLOOKUP(C121,Merchants!$A$2:$D$41,3,FALSE),"Merchant not found")</f>
        <v/>
      </c>
      <c r="K121" s="2">
        <f>IFERROR(VLOOKUP(C121,Merchants!$A$2:$D$41,4,FALSE),"Merchant not found")</f>
        <v/>
      </c>
      <c r="L121" s="7">
        <f>DATE(YEAR(D121),MONTH(D121),DAY(D121))</f>
        <v/>
      </c>
      <c r="M121" s="5">
        <f>IFERROR(HLOOKUP(F121,Fee_Tiers!$B$1:$E$2,2,FALSE),"Fee tier not found")</f>
        <v/>
      </c>
      <c r="N121" s="8">
        <f>SUMIFS(Daily_Merchant!$C$2:$C$444,Daily_Merchant!$A$2:$A$444,C121,Daily_Merchant!$B$2:$B$444,L121)</f>
        <v/>
      </c>
      <c r="O121" s="2">
        <f>IF(AND(N121&gt;5000,K121&lt;&gt;"East"),"High-Value Merchant Day","")</f>
        <v/>
      </c>
    </row>
    <row r="122">
      <c r="A122" s="2" t="inlineStr">
        <is>
          <t>TXN100120</t>
        </is>
      </c>
      <c r="B122" s="2" t="n">
        <v>59</v>
      </c>
      <c r="C122" s="2" t="n">
        <v>30</v>
      </c>
      <c r="D122" s="12" t="n">
        <v>46036.09305555555</v>
      </c>
      <c r="E122" s="8" t="n">
        <v>499</v>
      </c>
      <c r="F122" s="2" t="inlineStr">
        <is>
          <t>UPI</t>
        </is>
      </c>
      <c r="G122" s="2" t="inlineStr">
        <is>
          <t>captured</t>
        </is>
      </c>
      <c r="H122" s="2" t="n">
        <v>15</v>
      </c>
      <c r="I122" s="2">
        <f>IFERROR(VLOOKUP(C122,Merchants!$A$2:$D$41,2,FALSE),"Merchant not found")</f>
        <v/>
      </c>
      <c r="J122" s="2">
        <f>IFERROR(VLOOKUP(C122,Merchants!$A$2:$D$41,3,FALSE),"Merchant not found")</f>
        <v/>
      </c>
      <c r="K122" s="2">
        <f>IFERROR(VLOOKUP(C122,Merchants!$A$2:$D$41,4,FALSE),"Merchant not found")</f>
        <v/>
      </c>
      <c r="L122" s="7">
        <f>DATE(YEAR(D122),MONTH(D122),DAY(D122))</f>
        <v/>
      </c>
      <c r="M122" s="5">
        <f>IFERROR(HLOOKUP(F122,Fee_Tiers!$B$1:$E$2,2,FALSE),"Fee tier not found")</f>
        <v/>
      </c>
      <c r="N122" s="8">
        <f>SUMIFS(Daily_Merchant!$C$2:$C$444,Daily_Merchant!$A$2:$A$444,C122,Daily_Merchant!$B$2:$B$444,L122)</f>
        <v/>
      </c>
      <c r="O122" s="2">
        <f>IF(AND(N122&gt;5000,K122&lt;&gt;"East"),"High-Value Merchant Day","")</f>
        <v/>
      </c>
    </row>
    <row r="123">
      <c r="A123" s="2" t="inlineStr">
        <is>
          <t>TXN100121</t>
        </is>
      </c>
      <c r="B123" s="2" t="n">
        <v>150</v>
      </c>
      <c r="C123" s="2" t="n">
        <v>33</v>
      </c>
      <c r="D123" s="12" t="n">
        <v>46043.18819444445</v>
      </c>
      <c r="E123" s="8" t="n">
        <v>2999</v>
      </c>
      <c r="F123" s="2" t="inlineStr">
        <is>
          <t>UPI</t>
        </is>
      </c>
      <c r="G123" s="2" t="inlineStr">
        <is>
          <t>captured</t>
        </is>
      </c>
      <c r="H123" s="2" t="n">
        <v>90</v>
      </c>
      <c r="I123" s="2">
        <f>IFERROR(VLOOKUP(C123,Merchants!$A$2:$D$41,2,FALSE),"Merchant not found")</f>
        <v/>
      </c>
      <c r="J123" s="2">
        <f>IFERROR(VLOOKUP(C123,Merchants!$A$2:$D$41,3,FALSE),"Merchant not found")</f>
        <v/>
      </c>
      <c r="K123" s="2">
        <f>IFERROR(VLOOKUP(C123,Merchants!$A$2:$D$41,4,FALSE),"Merchant not found")</f>
        <v/>
      </c>
      <c r="L123" s="7">
        <f>DATE(YEAR(D123),MONTH(D123),DAY(D123))</f>
        <v/>
      </c>
      <c r="M123" s="5">
        <f>IFERROR(HLOOKUP(F123,Fee_Tiers!$B$1:$E$2,2,FALSE),"Fee tier not found")</f>
        <v/>
      </c>
      <c r="N123" s="8">
        <f>SUMIFS(Daily_Merchant!$C$2:$C$444,Daily_Merchant!$A$2:$A$444,C123,Daily_Merchant!$B$2:$B$444,L123)</f>
        <v/>
      </c>
      <c r="O123" s="2">
        <f>IF(AND(N123&gt;5000,K123&lt;&gt;"East"),"High-Value Merchant Day","")</f>
        <v/>
      </c>
    </row>
    <row r="124">
      <c r="A124" s="2" t="inlineStr">
        <is>
          <t>TXN100122</t>
        </is>
      </c>
      <c r="B124" s="2" t="n">
        <v>248</v>
      </c>
      <c r="C124" s="2" t="n">
        <v>31</v>
      </c>
      <c r="D124" s="12" t="n">
        <v>46031.57847222222</v>
      </c>
      <c r="E124" s="8" t="n">
        <v>1499</v>
      </c>
      <c r="F124" s="2" t="inlineStr">
        <is>
          <t>UPI</t>
        </is>
      </c>
      <c r="G124" s="2" t="inlineStr">
        <is>
          <t>failed</t>
        </is>
      </c>
      <c r="H124" s="2" t="n">
        <v>31</v>
      </c>
      <c r="I124" s="2">
        <f>IFERROR(VLOOKUP(C124,Merchants!$A$2:$D$41,2,FALSE),"Merchant not found")</f>
        <v/>
      </c>
      <c r="J124" s="2">
        <f>IFERROR(VLOOKUP(C124,Merchants!$A$2:$D$41,3,FALSE),"Merchant not found")</f>
        <v/>
      </c>
      <c r="K124" s="2">
        <f>IFERROR(VLOOKUP(C124,Merchants!$A$2:$D$41,4,FALSE),"Merchant not found")</f>
        <v/>
      </c>
      <c r="L124" s="7">
        <f>DATE(YEAR(D124),MONTH(D124),DAY(D124))</f>
        <v/>
      </c>
      <c r="M124" s="5">
        <f>IFERROR(HLOOKUP(F124,Fee_Tiers!$B$1:$E$2,2,FALSE),"Fee tier not found")</f>
        <v/>
      </c>
      <c r="N124" s="8">
        <f>SUMIFS(Daily_Merchant!$C$2:$C$444,Daily_Merchant!$A$2:$A$444,C124,Daily_Merchant!$B$2:$B$444,L124)</f>
        <v/>
      </c>
      <c r="O124" s="2">
        <f>IF(AND(N124&gt;5000,K124&lt;&gt;"East"),"High-Value Merchant Day","")</f>
        <v/>
      </c>
    </row>
    <row r="125">
      <c r="A125" s="2" t="inlineStr">
        <is>
          <t>TXN100123</t>
        </is>
      </c>
      <c r="B125" s="2" t="n">
        <v>197</v>
      </c>
      <c r="C125" s="2" t="n">
        <v>13</v>
      </c>
      <c r="D125" s="12" t="n">
        <v>46037.71458333333</v>
      </c>
      <c r="E125" s="8" t="n">
        <v>49</v>
      </c>
      <c r="F125" s="2" t="inlineStr">
        <is>
          <t>UPI</t>
        </is>
      </c>
      <c r="G125" s="2" t="inlineStr">
        <is>
          <t>captured</t>
        </is>
      </c>
      <c r="H125" s="2" t="n">
        <v>76</v>
      </c>
      <c r="I125" s="2">
        <f>IFERROR(VLOOKUP(C125,Merchants!$A$2:$D$41,2,FALSE),"Merchant not found")</f>
        <v/>
      </c>
      <c r="J125" s="2">
        <f>IFERROR(VLOOKUP(C125,Merchants!$A$2:$D$41,3,FALSE),"Merchant not found")</f>
        <v/>
      </c>
      <c r="K125" s="2">
        <f>IFERROR(VLOOKUP(C125,Merchants!$A$2:$D$41,4,FALSE),"Merchant not found")</f>
        <v/>
      </c>
      <c r="L125" s="7">
        <f>DATE(YEAR(D125),MONTH(D125),DAY(D125))</f>
        <v/>
      </c>
      <c r="M125" s="5">
        <f>IFERROR(HLOOKUP(F125,Fee_Tiers!$B$1:$E$2,2,FALSE),"Fee tier not found")</f>
        <v/>
      </c>
      <c r="N125" s="8">
        <f>SUMIFS(Daily_Merchant!$C$2:$C$444,Daily_Merchant!$A$2:$A$444,C125,Daily_Merchant!$B$2:$B$444,L125)</f>
        <v/>
      </c>
      <c r="O125" s="2">
        <f>IF(AND(N125&gt;5000,K125&lt;&gt;"East"),"High-Value Merchant Day","")</f>
        <v/>
      </c>
    </row>
    <row r="126">
      <c r="A126" s="2" t="inlineStr">
        <is>
          <t>TXN100124</t>
        </is>
      </c>
      <c r="B126" s="2" t="n">
        <v>70</v>
      </c>
      <c r="C126" s="2" t="n">
        <v>5</v>
      </c>
      <c r="D126" s="12" t="n">
        <v>46039.99722222222</v>
      </c>
      <c r="E126" s="8" t="n">
        <v>499</v>
      </c>
      <c r="F126" s="2" t="inlineStr">
        <is>
          <t>UPI</t>
        </is>
      </c>
      <c r="G126" s="2" t="inlineStr">
        <is>
          <t>captured</t>
        </is>
      </c>
      <c r="H126" s="2" t="n">
        <v>35</v>
      </c>
      <c r="I126" s="2">
        <f>IFERROR(VLOOKUP(C126,Merchants!$A$2:$D$41,2,FALSE),"Merchant not found")</f>
        <v/>
      </c>
      <c r="J126" s="2">
        <f>IFERROR(VLOOKUP(C126,Merchants!$A$2:$D$41,3,FALSE),"Merchant not found")</f>
        <v/>
      </c>
      <c r="K126" s="2">
        <f>IFERROR(VLOOKUP(C126,Merchants!$A$2:$D$41,4,FALSE),"Merchant not found")</f>
        <v/>
      </c>
      <c r="L126" s="7">
        <f>DATE(YEAR(D126),MONTH(D126),DAY(D126))</f>
        <v/>
      </c>
      <c r="M126" s="5">
        <f>IFERROR(HLOOKUP(F126,Fee_Tiers!$B$1:$E$2,2,FALSE),"Fee tier not found")</f>
        <v/>
      </c>
      <c r="N126" s="8">
        <f>SUMIFS(Daily_Merchant!$C$2:$C$444,Daily_Merchant!$A$2:$A$444,C126,Daily_Merchant!$B$2:$B$444,L126)</f>
        <v/>
      </c>
      <c r="O126" s="2">
        <f>IF(AND(N126&gt;5000,K126&lt;&gt;"East"),"High-Value Merchant Day","")</f>
        <v/>
      </c>
    </row>
    <row r="127">
      <c r="A127" s="2" t="inlineStr">
        <is>
          <t>TXN100125</t>
        </is>
      </c>
      <c r="B127" s="2" t="n">
        <v>260</v>
      </c>
      <c r="C127" s="2" t="n">
        <v>18</v>
      </c>
      <c r="D127" s="12" t="n">
        <v>46047.55625</v>
      </c>
      <c r="E127" s="8" t="n">
        <v>1499</v>
      </c>
      <c r="F127" s="2" t="inlineStr">
        <is>
          <t>UPI</t>
        </is>
      </c>
      <c r="G127" s="2" t="inlineStr">
        <is>
          <t>captured</t>
        </is>
      </c>
      <c r="H127" s="2" t="n">
        <v>0</v>
      </c>
      <c r="I127" s="2">
        <f>IFERROR(VLOOKUP(C127,Merchants!$A$2:$D$41,2,FALSE),"Merchant not found")</f>
        <v/>
      </c>
      <c r="J127" s="2">
        <f>IFERROR(VLOOKUP(C127,Merchants!$A$2:$D$41,3,FALSE),"Merchant not found")</f>
        <v/>
      </c>
      <c r="K127" s="2">
        <f>IFERROR(VLOOKUP(C127,Merchants!$A$2:$D$41,4,FALSE),"Merchant not found")</f>
        <v/>
      </c>
      <c r="L127" s="7">
        <f>DATE(YEAR(D127),MONTH(D127),DAY(D127))</f>
        <v/>
      </c>
      <c r="M127" s="5">
        <f>IFERROR(HLOOKUP(F127,Fee_Tiers!$B$1:$E$2,2,FALSE),"Fee tier not found")</f>
        <v/>
      </c>
      <c r="N127" s="8">
        <f>SUMIFS(Daily_Merchant!$C$2:$C$444,Daily_Merchant!$A$2:$A$444,C127,Daily_Merchant!$B$2:$B$444,L127)</f>
        <v/>
      </c>
      <c r="O127" s="2">
        <f>IF(AND(N127&gt;5000,K127&lt;&gt;"East"),"High-Value Merchant Day","")</f>
        <v/>
      </c>
    </row>
    <row r="128">
      <c r="A128" s="2" t="inlineStr">
        <is>
          <t>TXN100126</t>
        </is>
      </c>
      <c r="B128" s="2" t="n">
        <v>301</v>
      </c>
      <c r="C128" s="2" t="n">
        <v>38</v>
      </c>
      <c r="D128" s="12" t="n">
        <v>46032.97152777778</v>
      </c>
      <c r="E128" s="8" t="n">
        <v>99</v>
      </c>
      <c r="F128" s="2" t="inlineStr">
        <is>
          <t>UPI</t>
        </is>
      </c>
      <c r="G128" s="2" t="inlineStr">
        <is>
          <t>captured</t>
        </is>
      </c>
      <c r="H128" s="2" t="n">
        <v>84</v>
      </c>
      <c r="I128" s="2">
        <f>IFERROR(VLOOKUP(C128,Merchants!$A$2:$D$41,2,FALSE),"Merchant not found")</f>
        <v/>
      </c>
      <c r="J128" s="2">
        <f>IFERROR(VLOOKUP(C128,Merchants!$A$2:$D$41,3,FALSE),"Merchant not found")</f>
        <v/>
      </c>
      <c r="K128" s="2">
        <f>IFERROR(VLOOKUP(C128,Merchants!$A$2:$D$41,4,FALSE),"Merchant not found")</f>
        <v/>
      </c>
      <c r="L128" s="7">
        <f>DATE(YEAR(D128),MONTH(D128),DAY(D128))</f>
        <v/>
      </c>
      <c r="M128" s="5">
        <f>IFERROR(HLOOKUP(F128,Fee_Tiers!$B$1:$E$2,2,FALSE),"Fee tier not found")</f>
        <v/>
      </c>
      <c r="N128" s="8">
        <f>SUMIFS(Daily_Merchant!$C$2:$C$444,Daily_Merchant!$A$2:$A$444,C128,Daily_Merchant!$B$2:$B$444,L128)</f>
        <v/>
      </c>
      <c r="O128" s="2">
        <f>IF(AND(N128&gt;5000,K128&lt;&gt;"East"),"High-Value Merchant Day","")</f>
        <v/>
      </c>
    </row>
    <row r="129">
      <c r="A129" s="2" t="inlineStr">
        <is>
          <t>TXN100127</t>
        </is>
      </c>
      <c r="B129" s="2" t="n">
        <v>276</v>
      </c>
      <c r="C129" s="2" t="n">
        <v>31</v>
      </c>
      <c r="D129" s="12" t="n">
        <v>46038.18611111111</v>
      </c>
      <c r="E129" s="8" t="n">
        <v>499</v>
      </c>
      <c r="F129" s="2" t="inlineStr">
        <is>
          <t>Card</t>
        </is>
      </c>
      <c r="G129" s="2" t="inlineStr">
        <is>
          <t>captured</t>
        </is>
      </c>
      <c r="H129" s="2" t="n">
        <v>44</v>
      </c>
      <c r="I129" s="2">
        <f>IFERROR(VLOOKUP(C129,Merchants!$A$2:$D$41,2,FALSE),"Merchant not found")</f>
        <v/>
      </c>
      <c r="J129" s="2">
        <f>IFERROR(VLOOKUP(C129,Merchants!$A$2:$D$41,3,FALSE),"Merchant not found")</f>
        <v/>
      </c>
      <c r="K129" s="2">
        <f>IFERROR(VLOOKUP(C129,Merchants!$A$2:$D$41,4,FALSE),"Merchant not found")</f>
        <v/>
      </c>
      <c r="L129" s="7">
        <f>DATE(YEAR(D129),MONTH(D129),DAY(D129))</f>
        <v/>
      </c>
      <c r="M129" s="5">
        <f>IFERROR(HLOOKUP(F129,Fee_Tiers!$B$1:$E$2,2,FALSE),"Fee tier not found")</f>
        <v/>
      </c>
      <c r="N129" s="8">
        <f>SUMIFS(Daily_Merchant!$C$2:$C$444,Daily_Merchant!$A$2:$A$444,C129,Daily_Merchant!$B$2:$B$444,L129)</f>
        <v/>
      </c>
      <c r="O129" s="2">
        <f>IF(AND(N129&gt;5000,K129&lt;&gt;"East"),"High-Value Merchant Day","")</f>
        <v/>
      </c>
    </row>
    <row r="130">
      <c r="A130" s="2" t="inlineStr">
        <is>
          <t>TXN100128</t>
        </is>
      </c>
      <c r="B130" s="2" t="n">
        <v>279</v>
      </c>
      <c r="C130" s="2" t="n">
        <v>25</v>
      </c>
      <c r="D130" s="12" t="n">
        <v>46033.74166666667</v>
      </c>
      <c r="E130" s="8" t="n">
        <v>799</v>
      </c>
      <c r="F130" s="2" t="inlineStr">
        <is>
          <t>UPI</t>
        </is>
      </c>
      <c r="G130" s="2" t="inlineStr">
        <is>
          <t>captured</t>
        </is>
      </c>
      <c r="H130" s="2" t="n">
        <v>58</v>
      </c>
      <c r="I130" s="2">
        <f>IFERROR(VLOOKUP(C130,Merchants!$A$2:$D$41,2,FALSE),"Merchant not found")</f>
        <v/>
      </c>
      <c r="J130" s="2">
        <f>IFERROR(VLOOKUP(C130,Merchants!$A$2:$D$41,3,FALSE),"Merchant not found")</f>
        <v/>
      </c>
      <c r="K130" s="2">
        <f>IFERROR(VLOOKUP(C130,Merchants!$A$2:$D$41,4,FALSE),"Merchant not found")</f>
        <v/>
      </c>
      <c r="L130" s="7">
        <f>DATE(YEAR(D130),MONTH(D130),DAY(D130))</f>
        <v/>
      </c>
      <c r="M130" s="5">
        <f>IFERROR(HLOOKUP(F130,Fee_Tiers!$B$1:$E$2,2,FALSE),"Fee tier not found")</f>
        <v/>
      </c>
      <c r="N130" s="8">
        <f>SUMIFS(Daily_Merchant!$C$2:$C$444,Daily_Merchant!$A$2:$A$444,C130,Daily_Merchant!$B$2:$B$444,L130)</f>
        <v/>
      </c>
      <c r="O130" s="2">
        <f>IF(AND(N130&gt;5000,K130&lt;&gt;"East"),"High-Value Merchant Day","")</f>
        <v/>
      </c>
    </row>
    <row r="131">
      <c r="A131" s="2" t="inlineStr">
        <is>
          <t>TXN100129</t>
        </is>
      </c>
      <c r="B131" s="2" t="n">
        <v>97</v>
      </c>
      <c r="C131" s="2" t="n">
        <v>16</v>
      </c>
      <c r="D131" s="12" t="n">
        <v>46052.45486111111</v>
      </c>
      <c r="E131" s="8" t="n">
        <v>799</v>
      </c>
      <c r="F131" s="2" t="inlineStr">
        <is>
          <t>Card</t>
        </is>
      </c>
      <c r="G131" s="2" t="inlineStr">
        <is>
          <t>captured</t>
        </is>
      </c>
      <c r="H131" s="2" t="n">
        <v>73</v>
      </c>
      <c r="I131" s="2">
        <f>IFERROR(VLOOKUP(C131,Merchants!$A$2:$D$41,2,FALSE),"Merchant not found")</f>
        <v/>
      </c>
      <c r="J131" s="2">
        <f>IFERROR(VLOOKUP(C131,Merchants!$A$2:$D$41,3,FALSE),"Merchant not found")</f>
        <v/>
      </c>
      <c r="K131" s="2">
        <f>IFERROR(VLOOKUP(C131,Merchants!$A$2:$D$41,4,FALSE),"Merchant not found")</f>
        <v/>
      </c>
      <c r="L131" s="7">
        <f>DATE(YEAR(D131),MONTH(D131),DAY(D131))</f>
        <v/>
      </c>
      <c r="M131" s="5">
        <f>IFERROR(HLOOKUP(F131,Fee_Tiers!$B$1:$E$2,2,FALSE),"Fee tier not found")</f>
        <v/>
      </c>
      <c r="N131" s="8">
        <f>SUMIFS(Daily_Merchant!$C$2:$C$444,Daily_Merchant!$A$2:$A$444,C131,Daily_Merchant!$B$2:$B$444,L131)</f>
        <v/>
      </c>
      <c r="O131" s="2">
        <f>IF(AND(N131&gt;5000,K131&lt;&gt;"East"),"High-Value Merchant Day","")</f>
        <v/>
      </c>
    </row>
    <row r="132">
      <c r="A132" s="2" t="inlineStr">
        <is>
          <t>TXN100130</t>
        </is>
      </c>
      <c r="B132" s="2" t="n">
        <v>211</v>
      </c>
      <c r="C132" s="2" t="n">
        <v>3</v>
      </c>
      <c r="D132" s="12" t="n">
        <v>46035.32916666667</v>
      </c>
      <c r="E132" s="8" t="n">
        <v>149</v>
      </c>
      <c r="F132" s="2" t="inlineStr">
        <is>
          <t>UPI</t>
        </is>
      </c>
      <c r="G132" s="2" t="inlineStr">
        <is>
          <t>chargeback</t>
        </is>
      </c>
      <c r="H132" s="2" t="n">
        <v>40</v>
      </c>
      <c r="I132" s="2">
        <f>IFERROR(VLOOKUP(C132,Merchants!$A$2:$D$41,2,FALSE),"Merchant not found")</f>
        <v/>
      </c>
      <c r="J132" s="2">
        <f>IFERROR(VLOOKUP(C132,Merchants!$A$2:$D$41,3,FALSE),"Merchant not found")</f>
        <v/>
      </c>
      <c r="K132" s="2">
        <f>IFERROR(VLOOKUP(C132,Merchants!$A$2:$D$41,4,FALSE),"Merchant not found")</f>
        <v/>
      </c>
      <c r="L132" s="7">
        <f>DATE(YEAR(D132),MONTH(D132),DAY(D132))</f>
        <v/>
      </c>
      <c r="M132" s="5">
        <f>IFERROR(HLOOKUP(F132,Fee_Tiers!$B$1:$E$2,2,FALSE),"Fee tier not found")</f>
        <v/>
      </c>
      <c r="N132" s="8">
        <f>SUMIFS(Daily_Merchant!$C$2:$C$444,Daily_Merchant!$A$2:$A$444,C132,Daily_Merchant!$B$2:$B$444,L132)</f>
        <v/>
      </c>
      <c r="O132" s="2">
        <f>IF(AND(N132&gt;5000,K132&lt;&gt;"East"),"High-Value Merchant Day","")</f>
        <v/>
      </c>
    </row>
    <row r="133">
      <c r="A133" s="2" t="inlineStr">
        <is>
          <t>TXN100131</t>
        </is>
      </c>
      <c r="B133" s="2" t="n">
        <v>196</v>
      </c>
      <c r="C133" s="2" t="n">
        <v>25</v>
      </c>
      <c r="D133" s="12" t="n">
        <v>46046.65625</v>
      </c>
      <c r="E133" s="8" t="n">
        <v>149</v>
      </c>
      <c r="F133" s="2" t="inlineStr">
        <is>
          <t>Netbanking</t>
        </is>
      </c>
      <c r="G133" s="2" t="inlineStr">
        <is>
          <t>captured</t>
        </is>
      </c>
      <c r="H133" s="2" t="n">
        <v>84</v>
      </c>
      <c r="I133" s="2">
        <f>IFERROR(VLOOKUP(C133,Merchants!$A$2:$D$41,2,FALSE),"Merchant not found")</f>
        <v/>
      </c>
      <c r="J133" s="2">
        <f>IFERROR(VLOOKUP(C133,Merchants!$A$2:$D$41,3,FALSE),"Merchant not found")</f>
        <v/>
      </c>
      <c r="K133" s="2">
        <f>IFERROR(VLOOKUP(C133,Merchants!$A$2:$D$41,4,FALSE),"Merchant not found")</f>
        <v/>
      </c>
      <c r="L133" s="7">
        <f>DATE(YEAR(D133),MONTH(D133),DAY(D133))</f>
        <v/>
      </c>
      <c r="M133" s="5">
        <f>IFERROR(HLOOKUP(F133,Fee_Tiers!$B$1:$E$2,2,FALSE),"Fee tier not found")</f>
        <v/>
      </c>
      <c r="N133" s="8">
        <f>SUMIFS(Daily_Merchant!$C$2:$C$444,Daily_Merchant!$A$2:$A$444,C133,Daily_Merchant!$B$2:$B$444,L133)</f>
        <v/>
      </c>
      <c r="O133" s="2">
        <f>IF(AND(N133&gt;5000,K133&lt;&gt;"East"),"High-Value Merchant Day","")</f>
        <v/>
      </c>
    </row>
    <row r="134">
      <c r="A134" s="2" t="inlineStr">
        <is>
          <t>TXN100132</t>
        </is>
      </c>
      <c r="B134" s="2" t="n">
        <v>254</v>
      </c>
      <c r="C134" s="2" t="n">
        <v>3</v>
      </c>
      <c r="D134" s="12" t="n">
        <v>46048.83958333333</v>
      </c>
      <c r="E134" s="8" t="n">
        <v>149</v>
      </c>
      <c r="F134" s="2" t="inlineStr">
        <is>
          <t>Card</t>
        </is>
      </c>
      <c r="G134" s="2" t="inlineStr">
        <is>
          <t>captured</t>
        </is>
      </c>
      <c r="H134" s="2" t="n">
        <v>16</v>
      </c>
      <c r="I134" s="2">
        <f>IFERROR(VLOOKUP(C134,Merchants!$A$2:$D$41,2,FALSE),"Merchant not found")</f>
        <v/>
      </c>
      <c r="J134" s="2">
        <f>IFERROR(VLOOKUP(C134,Merchants!$A$2:$D$41,3,FALSE),"Merchant not found")</f>
        <v/>
      </c>
      <c r="K134" s="2">
        <f>IFERROR(VLOOKUP(C134,Merchants!$A$2:$D$41,4,FALSE),"Merchant not found")</f>
        <v/>
      </c>
      <c r="L134" s="7">
        <f>DATE(YEAR(D134),MONTH(D134),DAY(D134))</f>
        <v/>
      </c>
      <c r="M134" s="5">
        <f>IFERROR(HLOOKUP(F134,Fee_Tiers!$B$1:$E$2,2,FALSE),"Fee tier not found")</f>
        <v/>
      </c>
      <c r="N134" s="8">
        <f>SUMIFS(Daily_Merchant!$C$2:$C$444,Daily_Merchant!$A$2:$A$444,C134,Daily_Merchant!$B$2:$B$444,L134)</f>
        <v/>
      </c>
      <c r="O134" s="2">
        <f>IF(AND(N134&gt;5000,K134&lt;&gt;"East"),"High-Value Merchant Day","")</f>
        <v/>
      </c>
    </row>
    <row r="135">
      <c r="A135" s="2" t="inlineStr">
        <is>
          <t>TXN100133</t>
        </is>
      </c>
      <c r="B135" s="2" t="n">
        <v>52</v>
      </c>
      <c r="C135" s="2" t="n">
        <v>29</v>
      </c>
      <c r="D135" s="12" t="n">
        <v>46039.76458333333</v>
      </c>
      <c r="E135" s="8" t="n">
        <v>49</v>
      </c>
      <c r="F135" s="2" t="inlineStr">
        <is>
          <t>Netbanking</t>
        </is>
      </c>
      <c r="G135" s="2" t="inlineStr">
        <is>
          <t>captured</t>
        </is>
      </c>
      <c r="H135" s="2" t="n">
        <v>12</v>
      </c>
      <c r="I135" s="2">
        <f>IFERROR(VLOOKUP(C135,Merchants!$A$2:$D$41,2,FALSE),"Merchant not found")</f>
        <v/>
      </c>
      <c r="J135" s="2">
        <f>IFERROR(VLOOKUP(C135,Merchants!$A$2:$D$41,3,FALSE),"Merchant not found")</f>
        <v/>
      </c>
      <c r="K135" s="2">
        <f>IFERROR(VLOOKUP(C135,Merchants!$A$2:$D$41,4,FALSE),"Merchant not found")</f>
        <v/>
      </c>
      <c r="L135" s="7">
        <f>DATE(YEAR(D135),MONTH(D135),DAY(D135))</f>
        <v/>
      </c>
      <c r="M135" s="5">
        <f>IFERROR(HLOOKUP(F135,Fee_Tiers!$B$1:$E$2,2,FALSE),"Fee tier not found")</f>
        <v/>
      </c>
      <c r="N135" s="8">
        <f>SUMIFS(Daily_Merchant!$C$2:$C$444,Daily_Merchant!$A$2:$A$444,C135,Daily_Merchant!$B$2:$B$444,L135)</f>
        <v/>
      </c>
      <c r="O135" s="2">
        <f>IF(AND(N135&gt;5000,K135&lt;&gt;"East"),"High-Value Merchant Day","")</f>
        <v/>
      </c>
    </row>
    <row r="136">
      <c r="A136" s="2" t="inlineStr">
        <is>
          <t>TXN100134</t>
        </is>
      </c>
      <c r="B136" s="2" t="n">
        <v>74</v>
      </c>
      <c r="C136" s="2" t="n">
        <v>27</v>
      </c>
      <c r="D136" s="12" t="n">
        <v>46039.58333333334</v>
      </c>
      <c r="E136" s="8" t="n">
        <v>799</v>
      </c>
      <c r="F136" s="2" t="inlineStr">
        <is>
          <t>UPI</t>
        </is>
      </c>
      <c r="G136" s="2" t="inlineStr">
        <is>
          <t>captured</t>
        </is>
      </c>
      <c r="H136" s="2" t="n">
        <v>83</v>
      </c>
      <c r="I136" s="2">
        <f>IFERROR(VLOOKUP(C136,Merchants!$A$2:$D$41,2,FALSE),"Merchant not found")</f>
        <v/>
      </c>
      <c r="J136" s="2">
        <f>IFERROR(VLOOKUP(C136,Merchants!$A$2:$D$41,3,FALSE),"Merchant not found")</f>
        <v/>
      </c>
      <c r="K136" s="2">
        <f>IFERROR(VLOOKUP(C136,Merchants!$A$2:$D$41,4,FALSE),"Merchant not found")</f>
        <v/>
      </c>
      <c r="L136" s="7">
        <f>DATE(YEAR(D136),MONTH(D136),DAY(D136))</f>
        <v/>
      </c>
      <c r="M136" s="5">
        <f>IFERROR(HLOOKUP(F136,Fee_Tiers!$B$1:$E$2,2,FALSE),"Fee tier not found")</f>
        <v/>
      </c>
      <c r="N136" s="8">
        <f>SUMIFS(Daily_Merchant!$C$2:$C$444,Daily_Merchant!$A$2:$A$444,C136,Daily_Merchant!$B$2:$B$444,L136)</f>
        <v/>
      </c>
      <c r="O136" s="2">
        <f>IF(AND(N136&gt;5000,K136&lt;&gt;"East"),"High-Value Merchant Day","")</f>
        <v/>
      </c>
    </row>
    <row r="137">
      <c r="A137" s="2" t="inlineStr">
        <is>
          <t>TXN100135</t>
        </is>
      </c>
      <c r="B137" s="2" t="n">
        <v>136</v>
      </c>
      <c r="C137" s="2" t="n">
        <v>22</v>
      </c>
      <c r="D137" s="12" t="n">
        <v>46027.10416666666</v>
      </c>
      <c r="E137" s="8" t="n">
        <v>149</v>
      </c>
      <c r="F137" s="2" t="inlineStr">
        <is>
          <t>UPI</t>
        </is>
      </c>
      <c r="G137" s="2" t="inlineStr">
        <is>
          <t>captured</t>
        </is>
      </c>
      <c r="H137" s="2" t="n">
        <v>79</v>
      </c>
      <c r="I137" s="2">
        <f>IFERROR(VLOOKUP(C137,Merchants!$A$2:$D$41,2,FALSE),"Merchant not found")</f>
        <v/>
      </c>
      <c r="J137" s="2">
        <f>IFERROR(VLOOKUP(C137,Merchants!$A$2:$D$41,3,FALSE),"Merchant not found")</f>
        <v/>
      </c>
      <c r="K137" s="2">
        <f>IFERROR(VLOOKUP(C137,Merchants!$A$2:$D$41,4,FALSE),"Merchant not found")</f>
        <v/>
      </c>
      <c r="L137" s="7">
        <f>DATE(YEAR(D137),MONTH(D137),DAY(D137))</f>
        <v/>
      </c>
      <c r="M137" s="5">
        <f>IFERROR(HLOOKUP(F137,Fee_Tiers!$B$1:$E$2,2,FALSE),"Fee tier not found")</f>
        <v/>
      </c>
      <c r="N137" s="8">
        <f>SUMIFS(Daily_Merchant!$C$2:$C$444,Daily_Merchant!$A$2:$A$444,C137,Daily_Merchant!$B$2:$B$444,L137)</f>
        <v/>
      </c>
      <c r="O137" s="2">
        <f>IF(AND(N137&gt;5000,K137&lt;&gt;"East"),"High-Value Merchant Day","")</f>
        <v/>
      </c>
    </row>
    <row r="138">
      <c r="A138" s="2" t="inlineStr">
        <is>
          <t>TXN100136</t>
        </is>
      </c>
      <c r="B138" s="2" t="n">
        <v>42</v>
      </c>
      <c r="C138" s="2" t="n">
        <v>22</v>
      </c>
      <c r="D138" s="12" t="n">
        <v>46045.52847222222</v>
      </c>
      <c r="E138" s="8" t="n">
        <v>49</v>
      </c>
      <c r="F138" s="2" t="inlineStr">
        <is>
          <t>UPI</t>
        </is>
      </c>
      <c r="G138" s="2" t="inlineStr">
        <is>
          <t>captured</t>
        </is>
      </c>
      <c r="H138" s="2" t="n">
        <v>86</v>
      </c>
      <c r="I138" s="2">
        <f>IFERROR(VLOOKUP(C138,Merchants!$A$2:$D$41,2,FALSE),"Merchant not found")</f>
        <v/>
      </c>
      <c r="J138" s="2">
        <f>IFERROR(VLOOKUP(C138,Merchants!$A$2:$D$41,3,FALSE),"Merchant not found")</f>
        <v/>
      </c>
      <c r="K138" s="2">
        <f>IFERROR(VLOOKUP(C138,Merchants!$A$2:$D$41,4,FALSE),"Merchant not found")</f>
        <v/>
      </c>
      <c r="L138" s="7">
        <f>DATE(YEAR(D138),MONTH(D138),DAY(D138))</f>
        <v/>
      </c>
      <c r="M138" s="5">
        <f>IFERROR(HLOOKUP(F138,Fee_Tiers!$B$1:$E$2,2,FALSE),"Fee tier not found")</f>
        <v/>
      </c>
      <c r="N138" s="8">
        <f>SUMIFS(Daily_Merchant!$C$2:$C$444,Daily_Merchant!$A$2:$A$444,C138,Daily_Merchant!$B$2:$B$444,L138)</f>
        <v/>
      </c>
      <c r="O138" s="2">
        <f>IF(AND(N138&gt;5000,K138&lt;&gt;"East"),"High-Value Merchant Day","")</f>
        <v/>
      </c>
    </row>
    <row r="139">
      <c r="A139" s="2" t="inlineStr">
        <is>
          <t>TXN100137</t>
        </is>
      </c>
      <c r="B139" s="2" t="n">
        <v>163</v>
      </c>
      <c r="C139" s="2" t="n">
        <v>32</v>
      </c>
      <c r="D139" s="12" t="n">
        <v>46050.725</v>
      </c>
      <c r="E139" s="8" t="n">
        <v>2999</v>
      </c>
      <c r="F139" s="2" t="inlineStr">
        <is>
          <t>Wallet</t>
        </is>
      </c>
      <c r="G139" s="2" t="inlineStr">
        <is>
          <t>failed</t>
        </is>
      </c>
      <c r="H139" s="2" t="n">
        <v>69</v>
      </c>
      <c r="I139" s="2">
        <f>IFERROR(VLOOKUP(C139,Merchants!$A$2:$D$41,2,FALSE),"Merchant not found")</f>
        <v/>
      </c>
      <c r="J139" s="2">
        <f>IFERROR(VLOOKUP(C139,Merchants!$A$2:$D$41,3,FALSE),"Merchant not found")</f>
        <v/>
      </c>
      <c r="K139" s="2">
        <f>IFERROR(VLOOKUP(C139,Merchants!$A$2:$D$41,4,FALSE),"Merchant not found")</f>
        <v/>
      </c>
      <c r="L139" s="7">
        <f>DATE(YEAR(D139),MONTH(D139),DAY(D139))</f>
        <v/>
      </c>
      <c r="M139" s="5">
        <f>IFERROR(HLOOKUP(F139,Fee_Tiers!$B$1:$E$2,2,FALSE),"Fee tier not found")</f>
        <v/>
      </c>
      <c r="N139" s="8">
        <f>SUMIFS(Daily_Merchant!$C$2:$C$444,Daily_Merchant!$A$2:$A$444,C139,Daily_Merchant!$B$2:$B$444,L139)</f>
        <v/>
      </c>
      <c r="O139" s="2">
        <f>IF(AND(N139&gt;5000,K139&lt;&gt;"East"),"High-Value Merchant Day","")</f>
        <v/>
      </c>
    </row>
    <row r="140">
      <c r="A140" s="2" t="inlineStr">
        <is>
          <t>TXN100138</t>
        </is>
      </c>
      <c r="B140" s="2" t="n">
        <v>121</v>
      </c>
      <c r="C140" s="2" t="n">
        <v>19</v>
      </c>
      <c r="D140" s="12" t="n">
        <v>46024.79444444444</v>
      </c>
      <c r="E140" s="8" t="n">
        <v>149</v>
      </c>
      <c r="F140" s="2" t="inlineStr">
        <is>
          <t>UPI</t>
        </is>
      </c>
      <c r="G140" s="2" t="inlineStr">
        <is>
          <t>captured</t>
        </is>
      </c>
      <c r="H140" s="2" t="n">
        <v>29</v>
      </c>
      <c r="I140" s="2">
        <f>IFERROR(VLOOKUP(C140,Merchants!$A$2:$D$41,2,FALSE),"Merchant not found")</f>
        <v/>
      </c>
      <c r="J140" s="2">
        <f>IFERROR(VLOOKUP(C140,Merchants!$A$2:$D$41,3,FALSE),"Merchant not found")</f>
        <v/>
      </c>
      <c r="K140" s="2">
        <f>IFERROR(VLOOKUP(C140,Merchants!$A$2:$D$41,4,FALSE),"Merchant not found")</f>
        <v/>
      </c>
      <c r="L140" s="7">
        <f>DATE(YEAR(D140),MONTH(D140),DAY(D140))</f>
        <v/>
      </c>
      <c r="M140" s="5">
        <f>IFERROR(HLOOKUP(F140,Fee_Tiers!$B$1:$E$2,2,FALSE),"Fee tier not found")</f>
        <v/>
      </c>
      <c r="N140" s="8">
        <f>SUMIFS(Daily_Merchant!$C$2:$C$444,Daily_Merchant!$A$2:$A$444,C140,Daily_Merchant!$B$2:$B$444,L140)</f>
        <v/>
      </c>
      <c r="O140" s="2">
        <f>IF(AND(N140&gt;5000,K140&lt;&gt;"East"),"High-Value Merchant Day","")</f>
        <v/>
      </c>
    </row>
    <row r="141">
      <c r="A141" s="2" t="inlineStr">
        <is>
          <t>TXN100139</t>
        </is>
      </c>
      <c r="B141" s="2" t="n">
        <v>51</v>
      </c>
      <c r="C141" s="2" t="n">
        <v>7</v>
      </c>
      <c r="D141" s="12" t="n">
        <v>46046.10208333333</v>
      </c>
      <c r="E141" s="8" t="n">
        <v>499</v>
      </c>
      <c r="F141" s="2" t="inlineStr">
        <is>
          <t>Card</t>
        </is>
      </c>
      <c r="G141" s="2" t="inlineStr">
        <is>
          <t>captured</t>
        </is>
      </c>
      <c r="H141" s="2" t="n">
        <v>56</v>
      </c>
      <c r="I141" s="2">
        <f>IFERROR(VLOOKUP(C141,Merchants!$A$2:$D$41,2,FALSE),"Merchant not found")</f>
        <v/>
      </c>
      <c r="J141" s="2">
        <f>IFERROR(VLOOKUP(C141,Merchants!$A$2:$D$41,3,FALSE),"Merchant not found")</f>
        <v/>
      </c>
      <c r="K141" s="2">
        <f>IFERROR(VLOOKUP(C141,Merchants!$A$2:$D$41,4,FALSE),"Merchant not found")</f>
        <v/>
      </c>
      <c r="L141" s="7">
        <f>DATE(YEAR(D141),MONTH(D141),DAY(D141))</f>
        <v/>
      </c>
      <c r="M141" s="5">
        <f>IFERROR(HLOOKUP(F141,Fee_Tiers!$B$1:$E$2,2,FALSE),"Fee tier not found")</f>
        <v/>
      </c>
      <c r="N141" s="8">
        <f>SUMIFS(Daily_Merchant!$C$2:$C$444,Daily_Merchant!$A$2:$A$444,C141,Daily_Merchant!$B$2:$B$444,L141)</f>
        <v/>
      </c>
      <c r="O141" s="2">
        <f>IF(AND(N141&gt;5000,K141&lt;&gt;"East"),"High-Value Merchant Day","")</f>
        <v/>
      </c>
    </row>
    <row r="142">
      <c r="A142" s="2" t="inlineStr">
        <is>
          <t>TXN100140</t>
        </is>
      </c>
      <c r="B142" s="2" t="n">
        <v>15</v>
      </c>
      <c r="C142" s="2" t="n">
        <v>3</v>
      </c>
      <c r="D142" s="12" t="n">
        <v>46028.92986111111</v>
      </c>
      <c r="E142" s="8" t="n">
        <v>799</v>
      </c>
      <c r="F142" s="2" t="inlineStr">
        <is>
          <t>UPI</t>
        </is>
      </c>
      <c r="G142" s="2" t="inlineStr">
        <is>
          <t>captured</t>
        </is>
      </c>
      <c r="H142" s="2" t="n">
        <v>41</v>
      </c>
      <c r="I142" s="2">
        <f>IFERROR(VLOOKUP(C142,Merchants!$A$2:$D$41,2,FALSE),"Merchant not found")</f>
        <v/>
      </c>
      <c r="J142" s="2">
        <f>IFERROR(VLOOKUP(C142,Merchants!$A$2:$D$41,3,FALSE),"Merchant not found")</f>
        <v/>
      </c>
      <c r="K142" s="2">
        <f>IFERROR(VLOOKUP(C142,Merchants!$A$2:$D$41,4,FALSE),"Merchant not found")</f>
        <v/>
      </c>
      <c r="L142" s="7">
        <f>DATE(YEAR(D142),MONTH(D142),DAY(D142))</f>
        <v/>
      </c>
      <c r="M142" s="5">
        <f>IFERROR(HLOOKUP(F142,Fee_Tiers!$B$1:$E$2,2,FALSE),"Fee tier not found")</f>
        <v/>
      </c>
      <c r="N142" s="8">
        <f>SUMIFS(Daily_Merchant!$C$2:$C$444,Daily_Merchant!$A$2:$A$444,C142,Daily_Merchant!$B$2:$B$444,L142)</f>
        <v/>
      </c>
      <c r="O142" s="2">
        <f>IF(AND(N142&gt;5000,K142&lt;&gt;"East"),"High-Value Merchant Day","")</f>
        <v/>
      </c>
    </row>
    <row r="143">
      <c r="A143" s="2" t="inlineStr">
        <is>
          <t>TXN100141</t>
        </is>
      </c>
      <c r="B143" s="2" t="n">
        <v>184</v>
      </c>
      <c r="C143" s="2" t="n">
        <v>24</v>
      </c>
      <c r="D143" s="12" t="n">
        <v>46048.05416666667</v>
      </c>
      <c r="E143" s="8" t="n">
        <v>49</v>
      </c>
      <c r="F143" s="2" t="inlineStr">
        <is>
          <t>UPI</t>
        </is>
      </c>
      <c r="G143" s="2" t="inlineStr">
        <is>
          <t>captured</t>
        </is>
      </c>
      <c r="H143" s="2" t="n">
        <v>55</v>
      </c>
      <c r="I143" s="2">
        <f>IFERROR(VLOOKUP(C143,Merchants!$A$2:$D$41,2,FALSE),"Merchant not found")</f>
        <v/>
      </c>
      <c r="J143" s="2">
        <f>IFERROR(VLOOKUP(C143,Merchants!$A$2:$D$41,3,FALSE),"Merchant not found")</f>
        <v/>
      </c>
      <c r="K143" s="2">
        <f>IFERROR(VLOOKUP(C143,Merchants!$A$2:$D$41,4,FALSE),"Merchant not found")</f>
        <v/>
      </c>
      <c r="L143" s="7">
        <f>DATE(YEAR(D143),MONTH(D143),DAY(D143))</f>
        <v/>
      </c>
      <c r="M143" s="5">
        <f>IFERROR(HLOOKUP(F143,Fee_Tiers!$B$1:$E$2,2,FALSE),"Fee tier not found")</f>
        <v/>
      </c>
      <c r="N143" s="8">
        <f>SUMIFS(Daily_Merchant!$C$2:$C$444,Daily_Merchant!$A$2:$A$444,C143,Daily_Merchant!$B$2:$B$444,L143)</f>
        <v/>
      </c>
      <c r="O143" s="2">
        <f>IF(AND(N143&gt;5000,K143&lt;&gt;"East"),"High-Value Merchant Day","")</f>
        <v/>
      </c>
    </row>
    <row r="144">
      <c r="A144" s="2" t="inlineStr">
        <is>
          <t>TXN100142</t>
        </is>
      </c>
      <c r="B144" s="2" t="n">
        <v>211</v>
      </c>
      <c r="C144" s="2" t="n">
        <v>37</v>
      </c>
      <c r="D144" s="12" t="n">
        <v>46027.31458333333</v>
      </c>
      <c r="E144" s="8" t="n">
        <v>1499</v>
      </c>
      <c r="F144" s="2" t="inlineStr">
        <is>
          <t>UPI</t>
        </is>
      </c>
      <c r="G144" s="2" t="inlineStr">
        <is>
          <t>captured</t>
        </is>
      </c>
      <c r="H144" s="2" t="n">
        <v>87</v>
      </c>
      <c r="I144" s="2">
        <f>IFERROR(VLOOKUP(C144,Merchants!$A$2:$D$41,2,FALSE),"Merchant not found")</f>
        <v/>
      </c>
      <c r="J144" s="2">
        <f>IFERROR(VLOOKUP(C144,Merchants!$A$2:$D$41,3,FALSE),"Merchant not found")</f>
        <v/>
      </c>
      <c r="K144" s="2">
        <f>IFERROR(VLOOKUP(C144,Merchants!$A$2:$D$41,4,FALSE),"Merchant not found")</f>
        <v/>
      </c>
      <c r="L144" s="7">
        <f>DATE(YEAR(D144),MONTH(D144),DAY(D144))</f>
        <v/>
      </c>
      <c r="M144" s="5">
        <f>IFERROR(HLOOKUP(F144,Fee_Tiers!$B$1:$E$2,2,FALSE),"Fee tier not found")</f>
        <v/>
      </c>
      <c r="N144" s="8">
        <f>SUMIFS(Daily_Merchant!$C$2:$C$444,Daily_Merchant!$A$2:$A$444,C144,Daily_Merchant!$B$2:$B$444,L144)</f>
        <v/>
      </c>
      <c r="O144" s="2">
        <f>IF(AND(N144&gt;5000,K144&lt;&gt;"East"),"High-Value Merchant Day","")</f>
        <v/>
      </c>
    </row>
    <row r="145">
      <c r="A145" s="2" t="inlineStr">
        <is>
          <t>TXN100143</t>
        </is>
      </c>
      <c r="B145" s="2" t="n">
        <v>90</v>
      </c>
      <c r="C145" s="2" t="n">
        <v>6</v>
      </c>
      <c r="D145" s="12" t="n">
        <v>46048.21527777778</v>
      </c>
      <c r="E145" s="8" t="n">
        <v>49</v>
      </c>
      <c r="F145" s="2" t="inlineStr">
        <is>
          <t>Card</t>
        </is>
      </c>
      <c r="G145" s="2" t="inlineStr">
        <is>
          <t>captured</t>
        </is>
      </c>
      <c r="H145" s="2" t="n">
        <v>78</v>
      </c>
      <c r="I145" s="2">
        <f>IFERROR(VLOOKUP(C145,Merchants!$A$2:$D$41,2,FALSE),"Merchant not found")</f>
        <v/>
      </c>
      <c r="J145" s="2">
        <f>IFERROR(VLOOKUP(C145,Merchants!$A$2:$D$41,3,FALSE),"Merchant not found")</f>
        <v/>
      </c>
      <c r="K145" s="2">
        <f>IFERROR(VLOOKUP(C145,Merchants!$A$2:$D$41,4,FALSE),"Merchant not found")</f>
        <v/>
      </c>
      <c r="L145" s="7">
        <f>DATE(YEAR(D145),MONTH(D145),DAY(D145))</f>
        <v/>
      </c>
      <c r="M145" s="5">
        <f>IFERROR(HLOOKUP(F145,Fee_Tiers!$B$1:$E$2,2,FALSE),"Fee tier not found")</f>
        <v/>
      </c>
      <c r="N145" s="8">
        <f>SUMIFS(Daily_Merchant!$C$2:$C$444,Daily_Merchant!$A$2:$A$444,C145,Daily_Merchant!$B$2:$B$444,L145)</f>
        <v/>
      </c>
      <c r="O145" s="2">
        <f>IF(AND(N145&gt;5000,K145&lt;&gt;"East"),"High-Value Merchant Day","")</f>
        <v/>
      </c>
    </row>
    <row r="146">
      <c r="A146" s="2" t="inlineStr">
        <is>
          <t>TXN100144</t>
        </is>
      </c>
      <c r="B146" s="2" t="n">
        <v>350</v>
      </c>
      <c r="C146" s="2" t="n">
        <v>16</v>
      </c>
      <c r="D146" s="12" t="n">
        <v>46050.52708333333</v>
      </c>
      <c r="E146" s="8" t="n">
        <v>49</v>
      </c>
      <c r="F146" s="2" t="inlineStr">
        <is>
          <t>UPI</t>
        </is>
      </c>
      <c r="G146" s="2" t="inlineStr">
        <is>
          <t>captured</t>
        </is>
      </c>
      <c r="H146" s="2" t="n">
        <v>63</v>
      </c>
      <c r="I146" s="2">
        <f>IFERROR(VLOOKUP(C146,Merchants!$A$2:$D$41,2,FALSE),"Merchant not found")</f>
        <v/>
      </c>
      <c r="J146" s="2">
        <f>IFERROR(VLOOKUP(C146,Merchants!$A$2:$D$41,3,FALSE),"Merchant not found")</f>
        <v/>
      </c>
      <c r="K146" s="2">
        <f>IFERROR(VLOOKUP(C146,Merchants!$A$2:$D$41,4,FALSE),"Merchant not found")</f>
        <v/>
      </c>
      <c r="L146" s="7">
        <f>DATE(YEAR(D146),MONTH(D146),DAY(D146))</f>
        <v/>
      </c>
      <c r="M146" s="5">
        <f>IFERROR(HLOOKUP(F146,Fee_Tiers!$B$1:$E$2,2,FALSE),"Fee tier not found")</f>
        <v/>
      </c>
      <c r="N146" s="8">
        <f>SUMIFS(Daily_Merchant!$C$2:$C$444,Daily_Merchant!$A$2:$A$444,C146,Daily_Merchant!$B$2:$B$444,L146)</f>
        <v/>
      </c>
      <c r="O146" s="2">
        <f>IF(AND(N146&gt;5000,K146&lt;&gt;"East"),"High-Value Merchant Day","")</f>
        <v/>
      </c>
    </row>
    <row r="147">
      <c r="A147" s="2" t="inlineStr">
        <is>
          <t>TXN100145</t>
        </is>
      </c>
      <c r="B147" s="2" t="n">
        <v>119</v>
      </c>
      <c r="C147" s="2" t="n">
        <v>30</v>
      </c>
      <c r="D147" s="12" t="n">
        <v>46052.75625</v>
      </c>
      <c r="E147" s="8" t="n">
        <v>49</v>
      </c>
      <c r="F147" s="2" t="inlineStr">
        <is>
          <t>Card</t>
        </is>
      </c>
      <c r="G147" s="2" t="inlineStr">
        <is>
          <t>captured</t>
        </is>
      </c>
      <c r="H147" s="2" t="n">
        <v>81</v>
      </c>
      <c r="I147" s="2">
        <f>IFERROR(VLOOKUP(C147,Merchants!$A$2:$D$41,2,FALSE),"Merchant not found")</f>
        <v/>
      </c>
      <c r="J147" s="2">
        <f>IFERROR(VLOOKUP(C147,Merchants!$A$2:$D$41,3,FALSE),"Merchant not found")</f>
        <v/>
      </c>
      <c r="K147" s="2">
        <f>IFERROR(VLOOKUP(C147,Merchants!$A$2:$D$41,4,FALSE),"Merchant not found")</f>
        <v/>
      </c>
      <c r="L147" s="7">
        <f>DATE(YEAR(D147),MONTH(D147),DAY(D147))</f>
        <v/>
      </c>
      <c r="M147" s="5">
        <f>IFERROR(HLOOKUP(F147,Fee_Tiers!$B$1:$E$2,2,FALSE),"Fee tier not found")</f>
        <v/>
      </c>
      <c r="N147" s="8">
        <f>SUMIFS(Daily_Merchant!$C$2:$C$444,Daily_Merchant!$A$2:$A$444,C147,Daily_Merchant!$B$2:$B$444,L147)</f>
        <v/>
      </c>
      <c r="O147" s="2">
        <f>IF(AND(N147&gt;5000,K147&lt;&gt;"East"),"High-Value Merchant Day","")</f>
        <v/>
      </c>
    </row>
    <row r="148">
      <c r="A148" s="2" t="inlineStr">
        <is>
          <t>TXN100146</t>
        </is>
      </c>
      <c r="B148" s="2" t="n">
        <v>342</v>
      </c>
      <c r="C148" s="2" t="n">
        <v>1</v>
      </c>
      <c r="D148" s="12" t="n">
        <v>46031.59444444445</v>
      </c>
      <c r="E148" s="8" t="n">
        <v>49</v>
      </c>
      <c r="F148" s="2" t="inlineStr">
        <is>
          <t>UPI</t>
        </is>
      </c>
      <c r="G148" s="2" t="inlineStr">
        <is>
          <t>captured</t>
        </is>
      </c>
      <c r="H148" s="2" t="n">
        <v>59</v>
      </c>
      <c r="I148" s="2">
        <f>IFERROR(VLOOKUP(C148,Merchants!$A$2:$D$41,2,FALSE),"Merchant not found")</f>
        <v/>
      </c>
      <c r="J148" s="2">
        <f>IFERROR(VLOOKUP(C148,Merchants!$A$2:$D$41,3,FALSE),"Merchant not found")</f>
        <v/>
      </c>
      <c r="K148" s="2">
        <f>IFERROR(VLOOKUP(C148,Merchants!$A$2:$D$41,4,FALSE),"Merchant not found")</f>
        <v/>
      </c>
      <c r="L148" s="7">
        <f>DATE(YEAR(D148),MONTH(D148),DAY(D148))</f>
        <v/>
      </c>
      <c r="M148" s="5">
        <f>IFERROR(HLOOKUP(F148,Fee_Tiers!$B$1:$E$2,2,FALSE),"Fee tier not found")</f>
        <v/>
      </c>
      <c r="N148" s="8">
        <f>SUMIFS(Daily_Merchant!$C$2:$C$444,Daily_Merchant!$A$2:$A$444,C148,Daily_Merchant!$B$2:$B$444,L148)</f>
        <v/>
      </c>
      <c r="O148" s="2">
        <f>IF(AND(N148&gt;5000,K148&lt;&gt;"East"),"High-Value Merchant Day","")</f>
        <v/>
      </c>
    </row>
    <row r="149">
      <c r="A149" s="2" t="inlineStr">
        <is>
          <t>TXN100147</t>
        </is>
      </c>
      <c r="B149" s="2" t="n">
        <v>280</v>
      </c>
      <c r="C149" s="2" t="n">
        <v>11</v>
      </c>
      <c r="D149" s="12" t="n">
        <v>46051.40486111111</v>
      </c>
      <c r="E149" s="8" t="n">
        <v>149</v>
      </c>
      <c r="F149" s="2" t="inlineStr">
        <is>
          <t>UPI</t>
        </is>
      </c>
      <c r="G149" s="2" t="inlineStr">
        <is>
          <t>chargeback</t>
        </is>
      </c>
      <c r="H149" s="2" t="n">
        <v>9</v>
      </c>
      <c r="I149" s="2">
        <f>IFERROR(VLOOKUP(C149,Merchants!$A$2:$D$41,2,FALSE),"Merchant not found")</f>
        <v/>
      </c>
      <c r="J149" s="2">
        <f>IFERROR(VLOOKUP(C149,Merchants!$A$2:$D$41,3,FALSE),"Merchant not found")</f>
        <v/>
      </c>
      <c r="K149" s="2">
        <f>IFERROR(VLOOKUP(C149,Merchants!$A$2:$D$41,4,FALSE),"Merchant not found")</f>
        <v/>
      </c>
      <c r="L149" s="7">
        <f>DATE(YEAR(D149),MONTH(D149),DAY(D149))</f>
        <v/>
      </c>
      <c r="M149" s="5">
        <f>IFERROR(HLOOKUP(F149,Fee_Tiers!$B$1:$E$2,2,FALSE),"Fee tier not found")</f>
        <v/>
      </c>
      <c r="N149" s="8">
        <f>SUMIFS(Daily_Merchant!$C$2:$C$444,Daily_Merchant!$A$2:$A$444,C149,Daily_Merchant!$B$2:$B$444,L149)</f>
        <v/>
      </c>
      <c r="O149" s="2">
        <f>IF(AND(N149&gt;5000,K149&lt;&gt;"East"),"High-Value Merchant Day","")</f>
        <v/>
      </c>
    </row>
    <row r="150">
      <c r="A150" s="2" t="inlineStr">
        <is>
          <t>TXN100148</t>
        </is>
      </c>
      <c r="B150" s="2" t="n">
        <v>154</v>
      </c>
      <c r="C150" s="2" t="n">
        <v>28</v>
      </c>
      <c r="D150" s="12" t="n">
        <v>46037.48402777778</v>
      </c>
      <c r="E150" s="8" t="n">
        <v>2999</v>
      </c>
      <c r="F150" s="2" t="inlineStr">
        <is>
          <t>Netbanking</t>
        </is>
      </c>
      <c r="G150" s="2" t="inlineStr">
        <is>
          <t>captured</t>
        </is>
      </c>
      <c r="H150" s="2" t="n">
        <v>88</v>
      </c>
      <c r="I150" s="2">
        <f>IFERROR(VLOOKUP(C150,Merchants!$A$2:$D$41,2,FALSE),"Merchant not found")</f>
        <v/>
      </c>
      <c r="J150" s="2">
        <f>IFERROR(VLOOKUP(C150,Merchants!$A$2:$D$41,3,FALSE),"Merchant not found")</f>
        <v/>
      </c>
      <c r="K150" s="2">
        <f>IFERROR(VLOOKUP(C150,Merchants!$A$2:$D$41,4,FALSE),"Merchant not found")</f>
        <v/>
      </c>
      <c r="L150" s="7">
        <f>DATE(YEAR(D150),MONTH(D150),DAY(D150))</f>
        <v/>
      </c>
      <c r="M150" s="5">
        <f>IFERROR(HLOOKUP(F150,Fee_Tiers!$B$1:$E$2,2,FALSE),"Fee tier not found")</f>
        <v/>
      </c>
      <c r="N150" s="8">
        <f>SUMIFS(Daily_Merchant!$C$2:$C$444,Daily_Merchant!$A$2:$A$444,C150,Daily_Merchant!$B$2:$B$444,L150)</f>
        <v/>
      </c>
      <c r="O150" s="2">
        <f>IF(AND(N150&gt;5000,K150&lt;&gt;"East"),"High-Value Merchant Day","")</f>
        <v/>
      </c>
    </row>
    <row r="151">
      <c r="A151" s="2" t="inlineStr">
        <is>
          <t>TXN100149</t>
        </is>
      </c>
      <c r="B151" s="2" t="n">
        <v>155</v>
      </c>
      <c r="C151" s="2" t="n">
        <v>13</v>
      </c>
      <c r="D151" s="12" t="n">
        <v>46031.62083333333</v>
      </c>
      <c r="E151" s="8" t="n">
        <v>149</v>
      </c>
      <c r="F151" s="2" t="inlineStr">
        <is>
          <t>UPI</t>
        </is>
      </c>
      <c r="G151" s="2" t="inlineStr">
        <is>
          <t>captured</t>
        </is>
      </c>
      <c r="H151" s="2" t="n">
        <v>49</v>
      </c>
      <c r="I151" s="2">
        <f>IFERROR(VLOOKUP(C151,Merchants!$A$2:$D$41,2,FALSE),"Merchant not found")</f>
        <v/>
      </c>
      <c r="J151" s="2">
        <f>IFERROR(VLOOKUP(C151,Merchants!$A$2:$D$41,3,FALSE),"Merchant not found")</f>
        <v/>
      </c>
      <c r="K151" s="2">
        <f>IFERROR(VLOOKUP(C151,Merchants!$A$2:$D$41,4,FALSE),"Merchant not found")</f>
        <v/>
      </c>
      <c r="L151" s="7">
        <f>DATE(YEAR(D151),MONTH(D151),DAY(D151))</f>
        <v/>
      </c>
      <c r="M151" s="5">
        <f>IFERROR(HLOOKUP(F151,Fee_Tiers!$B$1:$E$2,2,FALSE),"Fee tier not found")</f>
        <v/>
      </c>
      <c r="N151" s="8">
        <f>SUMIFS(Daily_Merchant!$C$2:$C$444,Daily_Merchant!$A$2:$A$444,C151,Daily_Merchant!$B$2:$B$444,L151)</f>
        <v/>
      </c>
      <c r="O151" s="2">
        <f>IF(AND(N151&gt;5000,K151&lt;&gt;"East"),"High-Value Merchant Day","")</f>
        <v/>
      </c>
    </row>
    <row r="152">
      <c r="A152" s="2" t="inlineStr">
        <is>
          <t>TXN100150</t>
        </is>
      </c>
      <c r="B152" s="2" t="n">
        <v>122</v>
      </c>
      <c r="C152" s="2" t="n">
        <v>25</v>
      </c>
      <c r="D152" s="12" t="n">
        <v>46050.62916666667</v>
      </c>
      <c r="E152" s="8" t="n">
        <v>299</v>
      </c>
      <c r="F152" s="2" t="inlineStr">
        <is>
          <t>UPI</t>
        </is>
      </c>
      <c r="G152" s="2" t="inlineStr">
        <is>
          <t>captured</t>
        </is>
      </c>
      <c r="H152" s="2" t="n">
        <v>73</v>
      </c>
      <c r="I152" s="2">
        <f>IFERROR(VLOOKUP(C152,Merchants!$A$2:$D$41,2,FALSE),"Merchant not found")</f>
        <v/>
      </c>
      <c r="J152" s="2">
        <f>IFERROR(VLOOKUP(C152,Merchants!$A$2:$D$41,3,FALSE),"Merchant not found")</f>
        <v/>
      </c>
      <c r="K152" s="2">
        <f>IFERROR(VLOOKUP(C152,Merchants!$A$2:$D$41,4,FALSE),"Merchant not found")</f>
        <v/>
      </c>
      <c r="L152" s="7">
        <f>DATE(YEAR(D152),MONTH(D152),DAY(D152))</f>
        <v/>
      </c>
      <c r="M152" s="5">
        <f>IFERROR(HLOOKUP(F152,Fee_Tiers!$B$1:$E$2,2,FALSE),"Fee tier not found")</f>
        <v/>
      </c>
      <c r="N152" s="8">
        <f>SUMIFS(Daily_Merchant!$C$2:$C$444,Daily_Merchant!$A$2:$A$444,C152,Daily_Merchant!$B$2:$B$444,L152)</f>
        <v/>
      </c>
      <c r="O152" s="2">
        <f>IF(AND(N152&gt;5000,K152&lt;&gt;"East"),"High-Value Merchant Day","")</f>
        <v/>
      </c>
    </row>
    <row r="153">
      <c r="A153" s="2" t="inlineStr">
        <is>
          <t>TXN100151</t>
        </is>
      </c>
      <c r="B153" s="2" t="n">
        <v>152</v>
      </c>
      <c r="C153" s="2" t="n">
        <v>2</v>
      </c>
      <c r="D153" s="12" t="n">
        <v>46034.7625</v>
      </c>
      <c r="E153" s="8" t="n">
        <v>49</v>
      </c>
      <c r="F153" s="2" t="inlineStr">
        <is>
          <t>UPI</t>
        </is>
      </c>
      <c r="G153" s="2" t="inlineStr">
        <is>
          <t>captured</t>
        </is>
      </c>
      <c r="H153" s="2" t="n">
        <v>84</v>
      </c>
      <c r="I153" s="2">
        <f>IFERROR(VLOOKUP(C153,Merchants!$A$2:$D$41,2,FALSE),"Merchant not found")</f>
        <v/>
      </c>
      <c r="J153" s="2">
        <f>IFERROR(VLOOKUP(C153,Merchants!$A$2:$D$41,3,FALSE),"Merchant not found")</f>
        <v/>
      </c>
      <c r="K153" s="2">
        <f>IFERROR(VLOOKUP(C153,Merchants!$A$2:$D$41,4,FALSE),"Merchant not found")</f>
        <v/>
      </c>
      <c r="L153" s="7">
        <f>DATE(YEAR(D153),MONTH(D153),DAY(D153))</f>
        <v/>
      </c>
      <c r="M153" s="5">
        <f>IFERROR(HLOOKUP(F153,Fee_Tiers!$B$1:$E$2,2,FALSE),"Fee tier not found")</f>
        <v/>
      </c>
      <c r="N153" s="8">
        <f>SUMIFS(Daily_Merchant!$C$2:$C$444,Daily_Merchant!$A$2:$A$444,C153,Daily_Merchant!$B$2:$B$444,L153)</f>
        <v/>
      </c>
      <c r="O153" s="2">
        <f>IF(AND(N153&gt;5000,K153&lt;&gt;"East"),"High-Value Merchant Day","")</f>
        <v/>
      </c>
    </row>
    <row r="154">
      <c r="A154" s="2" t="inlineStr">
        <is>
          <t>TXN100152</t>
        </is>
      </c>
      <c r="B154" s="2" t="n">
        <v>290</v>
      </c>
      <c r="C154" s="2" t="n">
        <v>4</v>
      </c>
      <c r="D154" s="12" t="n">
        <v>46035.33333333334</v>
      </c>
      <c r="E154" s="8" t="n">
        <v>149</v>
      </c>
      <c r="F154" s="2" t="inlineStr">
        <is>
          <t>UPI</t>
        </is>
      </c>
      <c r="G154" s="2" t="inlineStr">
        <is>
          <t>captured</t>
        </is>
      </c>
      <c r="H154" s="2" t="n">
        <v>77</v>
      </c>
      <c r="I154" s="2">
        <f>IFERROR(VLOOKUP(C154,Merchants!$A$2:$D$41,2,FALSE),"Merchant not found")</f>
        <v/>
      </c>
      <c r="J154" s="2">
        <f>IFERROR(VLOOKUP(C154,Merchants!$A$2:$D$41,3,FALSE),"Merchant not found")</f>
        <v/>
      </c>
      <c r="K154" s="2">
        <f>IFERROR(VLOOKUP(C154,Merchants!$A$2:$D$41,4,FALSE),"Merchant not found")</f>
        <v/>
      </c>
      <c r="L154" s="7">
        <f>DATE(YEAR(D154),MONTH(D154),DAY(D154))</f>
        <v/>
      </c>
      <c r="M154" s="5">
        <f>IFERROR(HLOOKUP(F154,Fee_Tiers!$B$1:$E$2,2,FALSE),"Fee tier not found")</f>
        <v/>
      </c>
      <c r="N154" s="8">
        <f>SUMIFS(Daily_Merchant!$C$2:$C$444,Daily_Merchant!$A$2:$A$444,C154,Daily_Merchant!$B$2:$B$444,L154)</f>
        <v/>
      </c>
      <c r="O154" s="2">
        <f>IF(AND(N154&gt;5000,K154&lt;&gt;"East"),"High-Value Merchant Day","")</f>
        <v/>
      </c>
    </row>
    <row r="155">
      <c r="A155" s="2" t="inlineStr">
        <is>
          <t>TXN100153</t>
        </is>
      </c>
      <c r="B155" s="2" t="n">
        <v>147</v>
      </c>
      <c r="C155" s="2" t="n">
        <v>15</v>
      </c>
      <c r="D155" s="12" t="n">
        <v>46046.66180555556</v>
      </c>
      <c r="E155" s="8" t="n">
        <v>49</v>
      </c>
      <c r="F155" s="2" t="inlineStr">
        <is>
          <t>Wallet</t>
        </is>
      </c>
      <c r="G155" s="2" t="inlineStr">
        <is>
          <t>captured</t>
        </is>
      </c>
      <c r="H155" s="2" t="n">
        <v>77</v>
      </c>
      <c r="I155" s="2">
        <f>IFERROR(VLOOKUP(C155,Merchants!$A$2:$D$41,2,FALSE),"Merchant not found")</f>
        <v/>
      </c>
      <c r="J155" s="2">
        <f>IFERROR(VLOOKUP(C155,Merchants!$A$2:$D$41,3,FALSE),"Merchant not found")</f>
        <v/>
      </c>
      <c r="K155" s="2">
        <f>IFERROR(VLOOKUP(C155,Merchants!$A$2:$D$41,4,FALSE),"Merchant not found")</f>
        <v/>
      </c>
      <c r="L155" s="7">
        <f>DATE(YEAR(D155),MONTH(D155),DAY(D155))</f>
        <v/>
      </c>
      <c r="M155" s="5">
        <f>IFERROR(HLOOKUP(F155,Fee_Tiers!$B$1:$E$2,2,FALSE),"Fee tier not found")</f>
        <v/>
      </c>
      <c r="N155" s="8">
        <f>SUMIFS(Daily_Merchant!$C$2:$C$444,Daily_Merchant!$A$2:$A$444,C155,Daily_Merchant!$B$2:$B$444,L155)</f>
        <v/>
      </c>
      <c r="O155" s="2">
        <f>IF(AND(N155&gt;5000,K155&lt;&gt;"East"),"High-Value Merchant Day","")</f>
        <v/>
      </c>
    </row>
    <row r="156">
      <c r="A156" s="2" t="inlineStr">
        <is>
          <t>TXN100154</t>
        </is>
      </c>
      <c r="B156" s="2" t="n">
        <v>326</v>
      </c>
      <c r="C156" s="2" t="n">
        <v>13</v>
      </c>
      <c r="D156" s="12" t="n">
        <v>46048.46805555555</v>
      </c>
      <c r="E156" s="8" t="n">
        <v>299</v>
      </c>
      <c r="F156" s="2" t="inlineStr">
        <is>
          <t>Netbanking</t>
        </is>
      </c>
      <c r="G156" s="2" t="inlineStr">
        <is>
          <t>captured</t>
        </is>
      </c>
      <c r="H156" s="2" t="n">
        <v>79</v>
      </c>
      <c r="I156" s="2">
        <f>IFERROR(VLOOKUP(C156,Merchants!$A$2:$D$41,2,FALSE),"Merchant not found")</f>
        <v/>
      </c>
      <c r="J156" s="2">
        <f>IFERROR(VLOOKUP(C156,Merchants!$A$2:$D$41,3,FALSE),"Merchant not found")</f>
        <v/>
      </c>
      <c r="K156" s="2">
        <f>IFERROR(VLOOKUP(C156,Merchants!$A$2:$D$41,4,FALSE),"Merchant not found")</f>
        <v/>
      </c>
      <c r="L156" s="7">
        <f>DATE(YEAR(D156),MONTH(D156),DAY(D156))</f>
        <v/>
      </c>
      <c r="M156" s="5">
        <f>IFERROR(HLOOKUP(F156,Fee_Tiers!$B$1:$E$2,2,FALSE),"Fee tier not found")</f>
        <v/>
      </c>
      <c r="N156" s="8">
        <f>SUMIFS(Daily_Merchant!$C$2:$C$444,Daily_Merchant!$A$2:$A$444,C156,Daily_Merchant!$B$2:$B$444,L156)</f>
        <v/>
      </c>
      <c r="O156" s="2">
        <f>IF(AND(N156&gt;5000,K156&lt;&gt;"East"),"High-Value Merchant Day","")</f>
        <v/>
      </c>
    </row>
    <row r="157">
      <c r="A157" s="2" t="inlineStr">
        <is>
          <t>TXN100155</t>
        </is>
      </c>
      <c r="B157" s="2" t="n">
        <v>338</v>
      </c>
      <c r="C157" s="2" t="n">
        <v>9</v>
      </c>
      <c r="D157" s="12" t="n">
        <v>46031.90833333333</v>
      </c>
      <c r="E157" s="8" t="n">
        <v>99</v>
      </c>
      <c r="F157" s="2" t="inlineStr">
        <is>
          <t>Card</t>
        </is>
      </c>
      <c r="G157" s="2" t="inlineStr">
        <is>
          <t>captured</t>
        </is>
      </c>
      <c r="H157" s="2" t="n">
        <v>80</v>
      </c>
      <c r="I157" s="2">
        <f>IFERROR(VLOOKUP(C157,Merchants!$A$2:$D$41,2,FALSE),"Merchant not found")</f>
        <v/>
      </c>
      <c r="J157" s="2">
        <f>IFERROR(VLOOKUP(C157,Merchants!$A$2:$D$41,3,FALSE),"Merchant not found")</f>
        <v/>
      </c>
      <c r="K157" s="2">
        <f>IFERROR(VLOOKUP(C157,Merchants!$A$2:$D$41,4,FALSE),"Merchant not found")</f>
        <v/>
      </c>
      <c r="L157" s="7">
        <f>DATE(YEAR(D157),MONTH(D157),DAY(D157))</f>
        <v/>
      </c>
      <c r="M157" s="5">
        <f>IFERROR(HLOOKUP(F157,Fee_Tiers!$B$1:$E$2,2,FALSE),"Fee tier not found")</f>
        <v/>
      </c>
      <c r="N157" s="8">
        <f>SUMIFS(Daily_Merchant!$C$2:$C$444,Daily_Merchant!$A$2:$A$444,C157,Daily_Merchant!$B$2:$B$444,L157)</f>
        <v/>
      </c>
      <c r="O157" s="2">
        <f>IF(AND(N157&gt;5000,K157&lt;&gt;"East"),"High-Value Merchant Day","")</f>
        <v/>
      </c>
    </row>
    <row r="158">
      <c r="A158" s="2" t="inlineStr">
        <is>
          <t>TXN100156</t>
        </is>
      </c>
      <c r="B158" s="2" t="n">
        <v>21</v>
      </c>
      <c r="C158" s="2" t="n">
        <v>20</v>
      </c>
      <c r="D158" s="12" t="n">
        <v>46026.86180555556</v>
      </c>
      <c r="E158" s="8" t="n">
        <v>2999</v>
      </c>
      <c r="F158" s="2" t="inlineStr">
        <is>
          <t>UPI</t>
        </is>
      </c>
      <c r="G158" s="2" t="inlineStr">
        <is>
          <t>captured</t>
        </is>
      </c>
      <c r="H158" s="2" t="n">
        <v>100</v>
      </c>
      <c r="I158" s="2">
        <f>IFERROR(VLOOKUP(C158,Merchants!$A$2:$D$41,2,FALSE),"Merchant not found")</f>
        <v/>
      </c>
      <c r="J158" s="2">
        <f>IFERROR(VLOOKUP(C158,Merchants!$A$2:$D$41,3,FALSE),"Merchant not found")</f>
        <v/>
      </c>
      <c r="K158" s="2">
        <f>IFERROR(VLOOKUP(C158,Merchants!$A$2:$D$41,4,FALSE),"Merchant not found")</f>
        <v/>
      </c>
      <c r="L158" s="7">
        <f>DATE(YEAR(D158),MONTH(D158),DAY(D158))</f>
        <v/>
      </c>
      <c r="M158" s="5">
        <f>IFERROR(HLOOKUP(F158,Fee_Tiers!$B$1:$E$2,2,FALSE),"Fee tier not found")</f>
        <v/>
      </c>
      <c r="N158" s="8">
        <f>SUMIFS(Daily_Merchant!$C$2:$C$444,Daily_Merchant!$A$2:$A$444,C158,Daily_Merchant!$B$2:$B$444,L158)</f>
        <v/>
      </c>
      <c r="O158" s="2">
        <f>IF(AND(N158&gt;5000,K158&lt;&gt;"East"),"High-Value Merchant Day","")</f>
        <v/>
      </c>
    </row>
    <row r="159">
      <c r="A159" s="2" t="inlineStr">
        <is>
          <t>TXN100157</t>
        </is>
      </c>
      <c r="B159" s="2" t="n">
        <v>187</v>
      </c>
      <c r="C159" s="2" t="n">
        <v>9</v>
      </c>
      <c r="D159" s="12" t="n">
        <v>46037.06736111111</v>
      </c>
      <c r="E159" s="8" t="n">
        <v>49</v>
      </c>
      <c r="F159" s="2" t="inlineStr">
        <is>
          <t>Card</t>
        </is>
      </c>
      <c r="G159" s="2" t="inlineStr">
        <is>
          <t>failed</t>
        </is>
      </c>
      <c r="H159" s="2" t="n">
        <v>11</v>
      </c>
      <c r="I159" s="2">
        <f>IFERROR(VLOOKUP(C159,Merchants!$A$2:$D$41,2,FALSE),"Merchant not found")</f>
        <v/>
      </c>
      <c r="J159" s="2">
        <f>IFERROR(VLOOKUP(C159,Merchants!$A$2:$D$41,3,FALSE),"Merchant not found")</f>
        <v/>
      </c>
      <c r="K159" s="2">
        <f>IFERROR(VLOOKUP(C159,Merchants!$A$2:$D$41,4,FALSE),"Merchant not found")</f>
        <v/>
      </c>
      <c r="L159" s="7">
        <f>DATE(YEAR(D159),MONTH(D159),DAY(D159))</f>
        <v/>
      </c>
      <c r="M159" s="5">
        <f>IFERROR(HLOOKUP(F159,Fee_Tiers!$B$1:$E$2,2,FALSE),"Fee tier not found")</f>
        <v/>
      </c>
      <c r="N159" s="8">
        <f>SUMIFS(Daily_Merchant!$C$2:$C$444,Daily_Merchant!$A$2:$A$444,C159,Daily_Merchant!$B$2:$B$444,L159)</f>
        <v/>
      </c>
      <c r="O159" s="2">
        <f>IF(AND(N159&gt;5000,K159&lt;&gt;"East"),"High-Value Merchant Day","")</f>
        <v/>
      </c>
    </row>
    <row r="160">
      <c r="A160" s="2" t="inlineStr">
        <is>
          <t>TXN100158</t>
        </is>
      </c>
      <c r="B160" s="2" t="n">
        <v>213</v>
      </c>
      <c r="C160" s="2" t="n">
        <v>12</v>
      </c>
      <c r="D160" s="12" t="n">
        <v>46052.38888888889</v>
      </c>
      <c r="E160" s="8" t="n">
        <v>4999</v>
      </c>
      <c r="F160" s="2" t="inlineStr">
        <is>
          <t>UPI</t>
        </is>
      </c>
      <c r="G160" s="2" t="inlineStr">
        <is>
          <t>captured</t>
        </is>
      </c>
      <c r="H160" s="2" t="n">
        <v>25</v>
      </c>
      <c r="I160" s="2">
        <f>IFERROR(VLOOKUP(C160,Merchants!$A$2:$D$41,2,FALSE),"Merchant not found")</f>
        <v/>
      </c>
      <c r="J160" s="2">
        <f>IFERROR(VLOOKUP(C160,Merchants!$A$2:$D$41,3,FALSE),"Merchant not found")</f>
        <v/>
      </c>
      <c r="K160" s="2">
        <f>IFERROR(VLOOKUP(C160,Merchants!$A$2:$D$41,4,FALSE),"Merchant not found")</f>
        <v/>
      </c>
      <c r="L160" s="7">
        <f>DATE(YEAR(D160),MONTH(D160),DAY(D160))</f>
        <v/>
      </c>
      <c r="M160" s="5">
        <f>IFERROR(HLOOKUP(F160,Fee_Tiers!$B$1:$E$2,2,FALSE),"Fee tier not found")</f>
        <v/>
      </c>
      <c r="N160" s="8">
        <f>SUMIFS(Daily_Merchant!$C$2:$C$444,Daily_Merchant!$A$2:$A$444,C160,Daily_Merchant!$B$2:$B$444,L160)</f>
        <v/>
      </c>
      <c r="O160" s="2">
        <f>IF(AND(N160&gt;5000,K160&lt;&gt;"East"),"High-Value Merchant Day","")</f>
        <v/>
      </c>
    </row>
    <row r="161">
      <c r="A161" s="2" t="inlineStr">
        <is>
          <t>TXN100159</t>
        </is>
      </c>
      <c r="B161" s="2" t="n">
        <v>188</v>
      </c>
      <c r="C161" s="2" t="n">
        <v>34</v>
      </c>
      <c r="D161" s="12" t="n">
        <v>46027.74722222222</v>
      </c>
      <c r="E161" s="8" t="n">
        <v>2999</v>
      </c>
      <c r="F161" s="2" t="inlineStr">
        <is>
          <t>UPI</t>
        </is>
      </c>
      <c r="G161" s="2" t="inlineStr">
        <is>
          <t>captured</t>
        </is>
      </c>
      <c r="H161" s="2" t="n">
        <v>64</v>
      </c>
      <c r="I161" s="2">
        <f>IFERROR(VLOOKUP(C161,Merchants!$A$2:$D$41,2,FALSE),"Merchant not found")</f>
        <v/>
      </c>
      <c r="J161" s="2">
        <f>IFERROR(VLOOKUP(C161,Merchants!$A$2:$D$41,3,FALSE),"Merchant not found")</f>
        <v/>
      </c>
      <c r="K161" s="2">
        <f>IFERROR(VLOOKUP(C161,Merchants!$A$2:$D$41,4,FALSE),"Merchant not found")</f>
        <v/>
      </c>
      <c r="L161" s="7">
        <f>DATE(YEAR(D161),MONTH(D161),DAY(D161))</f>
        <v/>
      </c>
      <c r="M161" s="5">
        <f>IFERROR(HLOOKUP(F161,Fee_Tiers!$B$1:$E$2,2,FALSE),"Fee tier not found")</f>
        <v/>
      </c>
      <c r="N161" s="8">
        <f>SUMIFS(Daily_Merchant!$C$2:$C$444,Daily_Merchant!$A$2:$A$444,C161,Daily_Merchant!$B$2:$B$444,L161)</f>
        <v/>
      </c>
      <c r="O161" s="2">
        <f>IF(AND(N161&gt;5000,K161&lt;&gt;"East"),"High-Value Merchant Day","")</f>
        <v/>
      </c>
    </row>
    <row r="162">
      <c r="A162" s="2" t="inlineStr">
        <is>
          <t>TXN100160</t>
        </is>
      </c>
      <c r="B162" s="2" t="n">
        <v>85</v>
      </c>
      <c r="C162" s="2" t="n">
        <v>17</v>
      </c>
      <c r="D162" s="12" t="n">
        <v>46052.37013888889</v>
      </c>
      <c r="E162" s="8" t="n">
        <v>499</v>
      </c>
      <c r="F162" s="2" t="inlineStr">
        <is>
          <t>UPI</t>
        </is>
      </c>
      <c r="G162" s="2" t="inlineStr">
        <is>
          <t>captured</t>
        </is>
      </c>
      <c r="H162" s="2" t="n">
        <v>61</v>
      </c>
      <c r="I162" s="2">
        <f>IFERROR(VLOOKUP(C162,Merchants!$A$2:$D$41,2,FALSE),"Merchant not found")</f>
        <v/>
      </c>
      <c r="J162" s="2">
        <f>IFERROR(VLOOKUP(C162,Merchants!$A$2:$D$41,3,FALSE),"Merchant not found")</f>
        <v/>
      </c>
      <c r="K162" s="2">
        <f>IFERROR(VLOOKUP(C162,Merchants!$A$2:$D$41,4,FALSE),"Merchant not found")</f>
        <v/>
      </c>
      <c r="L162" s="7">
        <f>DATE(YEAR(D162),MONTH(D162),DAY(D162))</f>
        <v/>
      </c>
      <c r="M162" s="5">
        <f>IFERROR(HLOOKUP(F162,Fee_Tiers!$B$1:$E$2,2,FALSE),"Fee tier not found")</f>
        <v/>
      </c>
      <c r="N162" s="8">
        <f>SUMIFS(Daily_Merchant!$C$2:$C$444,Daily_Merchant!$A$2:$A$444,C162,Daily_Merchant!$B$2:$B$444,L162)</f>
        <v/>
      </c>
      <c r="O162" s="2">
        <f>IF(AND(N162&gt;5000,K162&lt;&gt;"East"),"High-Value Merchant Day","")</f>
        <v/>
      </c>
    </row>
    <row r="163">
      <c r="A163" s="2" t="inlineStr">
        <is>
          <t>TXN100161</t>
        </is>
      </c>
      <c r="B163" s="2" t="n">
        <v>174</v>
      </c>
      <c r="C163" s="2" t="n">
        <v>8</v>
      </c>
      <c r="D163" s="12" t="n">
        <v>46048.40763888889</v>
      </c>
      <c r="E163" s="8" t="n">
        <v>299</v>
      </c>
      <c r="F163" s="2" t="inlineStr">
        <is>
          <t>Netbanking</t>
        </is>
      </c>
      <c r="G163" s="2" t="inlineStr">
        <is>
          <t>captured</t>
        </is>
      </c>
      <c r="H163" s="2" t="n">
        <v>59</v>
      </c>
      <c r="I163" s="2">
        <f>IFERROR(VLOOKUP(C163,Merchants!$A$2:$D$41,2,FALSE),"Merchant not found")</f>
        <v/>
      </c>
      <c r="J163" s="2">
        <f>IFERROR(VLOOKUP(C163,Merchants!$A$2:$D$41,3,FALSE),"Merchant not found")</f>
        <v/>
      </c>
      <c r="K163" s="2">
        <f>IFERROR(VLOOKUP(C163,Merchants!$A$2:$D$41,4,FALSE),"Merchant not found")</f>
        <v/>
      </c>
      <c r="L163" s="7">
        <f>DATE(YEAR(D163),MONTH(D163),DAY(D163))</f>
        <v/>
      </c>
      <c r="M163" s="5">
        <f>IFERROR(HLOOKUP(F163,Fee_Tiers!$B$1:$E$2,2,FALSE),"Fee tier not found")</f>
        <v/>
      </c>
      <c r="N163" s="8">
        <f>SUMIFS(Daily_Merchant!$C$2:$C$444,Daily_Merchant!$A$2:$A$444,C163,Daily_Merchant!$B$2:$B$444,L163)</f>
        <v/>
      </c>
      <c r="O163" s="2">
        <f>IF(AND(N163&gt;5000,K163&lt;&gt;"East"),"High-Value Merchant Day","")</f>
        <v/>
      </c>
    </row>
    <row r="164">
      <c r="A164" s="2" t="inlineStr">
        <is>
          <t>TXN100162</t>
        </is>
      </c>
      <c r="B164" s="2" t="n">
        <v>116</v>
      </c>
      <c r="C164" s="2" t="n">
        <v>26</v>
      </c>
      <c r="D164" s="12" t="n">
        <v>46025.2</v>
      </c>
      <c r="E164" s="8" t="n">
        <v>99</v>
      </c>
      <c r="F164" s="2" t="inlineStr">
        <is>
          <t>Netbanking</t>
        </is>
      </c>
      <c r="G164" s="2" t="inlineStr">
        <is>
          <t>captured</t>
        </is>
      </c>
      <c r="H164" s="2" t="n">
        <v>71</v>
      </c>
      <c r="I164" s="2">
        <f>IFERROR(VLOOKUP(C164,Merchants!$A$2:$D$41,2,FALSE),"Merchant not found")</f>
        <v/>
      </c>
      <c r="J164" s="2">
        <f>IFERROR(VLOOKUP(C164,Merchants!$A$2:$D$41,3,FALSE),"Merchant not found")</f>
        <v/>
      </c>
      <c r="K164" s="2">
        <f>IFERROR(VLOOKUP(C164,Merchants!$A$2:$D$41,4,FALSE),"Merchant not found")</f>
        <v/>
      </c>
      <c r="L164" s="7">
        <f>DATE(YEAR(D164),MONTH(D164),DAY(D164))</f>
        <v/>
      </c>
      <c r="M164" s="5">
        <f>IFERROR(HLOOKUP(F164,Fee_Tiers!$B$1:$E$2,2,FALSE),"Fee tier not found")</f>
        <v/>
      </c>
      <c r="N164" s="8">
        <f>SUMIFS(Daily_Merchant!$C$2:$C$444,Daily_Merchant!$A$2:$A$444,C164,Daily_Merchant!$B$2:$B$444,L164)</f>
        <v/>
      </c>
      <c r="O164" s="2">
        <f>IF(AND(N164&gt;5000,K164&lt;&gt;"East"),"High-Value Merchant Day","")</f>
        <v/>
      </c>
    </row>
    <row r="165">
      <c r="A165" s="2" t="inlineStr">
        <is>
          <t>TXN100163</t>
        </is>
      </c>
      <c r="B165" s="2" t="n">
        <v>203</v>
      </c>
      <c r="C165" s="2" t="n">
        <v>1</v>
      </c>
      <c r="D165" s="12" t="n">
        <v>46034.11805555555</v>
      </c>
      <c r="E165" s="8" t="n">
        <v>149</v>
      </c>
      <c r="F165" s="2" t="inlineStr">
        <is>
          <t>Wallet</t>
        </is>
      </c>
      <c r="G165" s="2" t="inlineStr">
        <is>
          <t>captured</t>
        </is>
      </c>
      <c r="H165" s="2" t="n">
        <v>33</v>
      </c>
      <c r="I165" s="2">
        <f>IFERROR(VLOOKUP(C165,Merchants!$A$2:$D$41,2,FALSE),"Merchant not found")</f>
        <v/>
      </c>
      <c r="J165" s="2">
        <f>IFERROR(VLOOKUP(C165,Merchants!$A$2:$D$41,3,FALSE),"Merchant not found")</f>
        <v/>
      </c>
      <c r="K165" s="2">
        <f>IFERROR(VLOOKUP(C165,Merchants!$A$2:$D$41,4,FALSE),"Merchant not found")</f>
        <v/>
      </c>
      <c r="L165" s="7">
        <f>DATE(YEAR(D165),MONTH(D165),DAY(D165))</f>
        <v/>
      </c>
      <c r="M165" s="5">
        <f>IFERROR(HLOOKUP(F165,Fee_Tiers!$B$1:$E$2,2,FALSE),"Fee tier not found")</f>
        <v/>
      </c>
      <c r="N165" s="8">
        <f>SUMIFS(Daily_Merchant!$C$2:$C$444,Daily_Merchant!$A$2:$A$444,C165,Daily_Merchant!$B$2:$B$444,L165)</f>
        <v/>
      </c>
      <c r="O165" s="2">
        <f>IF(AND(N165&gt;5000,K165&lt;&gt;"East"),"High-Value Merchant Day","")</f>
        <v/>
      </c>
    </row>
    <row r="166">
      <c r="A166" s="2" t="inlineStr">
        <is>
          <t>TXN100164</t>
        </is>
      </c>
      <c r="B166" s="2" t="n">
        <v>189</v>
      </c>
      <c r="C166" s="2" t="n">
        <v>17</v>
      </c>
      <c r="D166" s="12" t="n">
        <v>46040.14513888889</v>
      </c>
      <c r="E166" s="8" t="n">
        <v>99</v>
      </c>
      <c r="F166" s="2" t="inlineStr">
        <is>
          <t>UPI</t>
        </is>
      </c>
      <c r="G166" s="2" t="inlineStr">
        <is>
          <t>captured</t>
        </is>
      </c>
      <c r="H166" s="2" t="n">
        <v>74</v>
      </c>
      <c r="I166" s="2">
        <f>IFERROR(VLOOKUP(C166,Merchants!$A$2:$D$41,2,FALSE),"Merchant not found")</f>
        <v/>
      </c>
      <c r="J166" s="2">
        <f>IFERROR(VLOOKUP(C166,Merchants!$A$2:$D$41,3,FALSE),"Merchant not found")</f>
        <v/>
      </c>
      <c r="K166" s="2">
        <f>IFERROR(VLOOKUP(C166,Merchants!$A$2:$D$41,4,FALSE),"Merchant not found")</f>
        <v/>
      </c>
      <c r="L166" s="7">
        <f>DATE(YEAR(D166),MONTH(D166),DAY(D166))</f>
        <v/>
      </c>
      <c r="M166" s="5">
        <f>IFERROR(HLOOKUP(F166,Fee_Tiers!$B$1:$E$2,2,FALSE),"Fee tier not found")</f>
        <v/>
      </c>
      <c r="N166" s="8">
        <f>SUMIFS(Daily_Merchant!$C$2:$C$444,Daily_Merchant!$A$2:$A$444,C166,Daily_Merchant!$B$2:$B$444,L166)</f>
        <v/>
      </c>
      <c r="O166" s="2">
        <f>IF(AND(N166&gt;5000,K166&lt;&gt;"East"),"High-Value Merchant Day","")</f>
        <v/>
      </c>
    </row>
    <row r="167">
      <c r="A167" s="2" t="inlineStr">
        <is>
          <t>TXN100165</t>
        </is>
      </c>
      <c r="B167" s="2" t="n">
        <v>56</v>
      </c>
      <c r="C167" s="2" t="n">
        <v>15</v>
      </c>
      <c r="D167" s="12" t="n">
        <v>46035.84930555556</v>
      </c>
      <c r="E167" s="8" t="n">
        <v>299</v>
      </c>
      <c r="F167" s="2" t="inlineStr">
        <is>
          <t>UPI</t>
        </is>
      </c>
      <c r="G167" s="2" t="inlineStr">
        <is>
          <t>captured</t>
        </is>
      </c>
      <c r="H167" s="2" t="n">
        <v>60</v>
      </c>
      <c r="I167" s="2">
        <f>IFERROR(VLOOKUP(C167,Merchants!$A$2:$D$41,2,FALSE),"Merchant not found")</f>
        <v/>
      </c>
      <c r="J167" s="2">
        <f>IFERROR(VLOOKUP(C167,Merchants!$A$2:$D$41,3,FALSE),"Merchant not found")</f>
        <v/>
      </c>
      <c r="K167" s="2">
        <f>IFERROR(VLOOKUP(C167,Merchants!$A$2:$D$41,4,FALSE),"Merchant not found")</f>
        <v/>
      </c>
      <c r="L167" s="7">
        <f>DATE(YEAR(D167),MONTH(D167),DAY(D167))</f>
        <v/>
      </c>
      <c r="M167" s="5">
        <f>IFERROR(HLOOKUP(F167,Fee_Tiers!$B$1:$E$2,2,FALSE),"Fee tier not found")</f>
        <v/>
      </c>
      <c r="N167" s="8">
        <f>SUMIFS(Daily_Merchant!$C$2:$C$444,Daily_Merchant!$A$2:$A$444,C167,Daily_Merchant!$B$2:$B$444,L167)</f>
        <v/>
      </c>
      <c r="O167" s="2">
        <f>IF(AND(N167&gt;5000,K167&lt;&gt;"East"),"High-Value Merchant Day","")</f>
        <v/>
      </c>
    </row>
    <row r="168">
      <c r="A168" s="2" t="inlineStr">
        <is>
          <t>TXN100166</t>
        </is>
      </c>
      <c r="B168" s="2" t="n">
        <v>288</v>
      </c>
      <c r="C168" s="2" t="n">
        <v>21</v>
      </c>
      <c r="D168" s="12" t="n">
        <v>46023.83055555556</v>
      </c>
      <c r="E168" s="8" t="n">
        <v>4999</v>
      </c>
      <c r="F168" s="2" t="inlineStr">
        <is>
          <t>Wallet</t>
        </is>
      </c>
      <c r="G168" s="2" t="inlineStr">
        <is>
          <t>failed</t>
        </is>
      </c>
      <c r="H168" s="2" t="n">
        <v>78</v>
      </c>
      <c r="I168" s="2">
        <f>IFERROR(VLOOKUP(C168,Merchants!$A$2:$D$41,2,FALSE),"Merchant not found")</f>
        <v/>
      </c>
      <c r="J168" s="2">
        <f>IFERROR(VLOOKUP(C168,Merchants!$A$2:$D$41,3,FALSE),"Merchant not found")</f>
        <v/>
      </c>
      <c r="K168" s="2">
        <f>IFERROR(VLOOKUP(C168,Merchants!$A$2:$D$41,4,FALSE),"Merchant not found")</f>
        <v/>
      </c>
      <c r="L168" s="7">
        <f>DATE(YEAR(D168),MONTH(D168),DAY(D168))</f>
        <v/>
      </c>
      <c r="M168" s="5">
        <f>IFERROR(HLOOKUP(F168,Fee_Tiers!$B$1:$E$2,2,FALSE),"Fee tier not found")</f>
        <v/>
      </c>
      <c r="N168" s="8">
        <f>SUMIFS(Daily_Merchant!$C$2:$C$444,Daily_Merchant!$A$2:$A$444,C168,Daily_Merchant!$B$2:$B$444,L168)</f>
        <v/>
      </c>
      <c r="O168" s="2">
        <f>IF(AND(N168&gt;5000,K168&lt;&gt;"East"),"High-Value Merchant Day","")</f>
        <v/>
      </c>
    </row>
    <row r="169">
      <c r="A169" s="2" t="inlineStr">
        <is>
          <t>TXN100167</t>
        </is>
      </c>
      <c r="B169" s="2" t="n">
        <v>326</v>
      </c>
      <c r="C169" s="2" t="n">
        <v>30</v>
      </c>
      <c r="D169" s="12" t="n">
        <v>46030.83611111111</v>
      </c>
      <c r="E169" s="8" t="n">
        <v>99</v>
      </c>
      <c r="F169" s="2" t="inlineStr">
        <is>
          <t>Card</t>
        </is>
      </c>
      <c r="G169" s="2" t="inlineStr">
        <is>
          <t>captured</t>
        </is>
      </c>
      <c r="H169" s="2" t="n">
        <v>89</v>
      </c>
      <c r="I169" s="2">
        <f>IFERROR(VLOOKUP(C169,Merchants!$A$2:$D$41,2,FALSE),"Merchant not found")</f>
        <v/>
      </c>
      <c r="J169" s="2">
        <f>IFERROR(VLOOKUP(C169,Merchants!$A$2:$D$41,3,FALSE),"Merchant not found")</f>
        <v/>
      </c>
      <c r="K169" s="2">
        <f>IFERROR(VLOOKUP(C169,Merchants!$A$2:$D$41,4,FALSE),"Merchant not found")</f>
        <v/>
      </c>
      <c r="L169" s="7">
        <f>DATE(YEAR(D169),MONTH(D169),DAY(D169))</f>
        <v/>
      </c>
      <c r="M169" s="5">
        <f>IFERROR(HLOOKUP(F169,Fee_Tiers!$B$1:$E$2,2,FALSE),"Fee tier not found")</f>
        <v/>
      </c>
      <c r="N169" s="8">
        <f>SUMIFS(Daily_Merchant!$C$2:$C$444,Daily_Merchant!$A$2:$A$444,C169,Daily_Merchant!$B$2:$B$444,L169)</f>
        <v/>
      </c>
      <c r="O169" s="2">
        <f>IF(AND(N169&gt;5000,K169&lt;&gt;"East"),"High-Value Merchant Day","")</f>
        <v/>
      </c>
    </row>
    <row r="170">
      <c r="A170" s="2" t="inlineStr">
        <is>
          <t>TXN100168</t>
        </is>
      </c>
      <c r="B170" s="2" t="n">
        <v>60</v>
      </c>
      <c r="C170" s="2" t="n">
        <v>9</v>
      </c>
      <c r="D170" s="12" t="n">
        <v>46032.85138888889</v>
      </c>
      <c r="E170" s="8" t="n">
        <v>49</v>
      </c>
      <c r="F170" s="2" t="inlineStr">
        <is>
          <t>Netbanking</t>
        </is>
      </c>
      <c r="G170" s="2" t="inlineStr">
        <is>
          <t>captured</t>
        </is>
      </c>
      <c r="H170" s="2" t="n">
        <v>5</v>
      </c>
      <c r="I170" s="2">
        <f>IFERROR(VLOOKUP(C170,Merchants!$A$2:$D$41,2,FALSE),"Merchant not found")</f>
        <v/>
      </c>
      <c r="J170" s="2">
        <f>IFERROR(VLOOKUP(C170,Merchants!$A$2:$D$41,3,FALSE),"Merchant not found")</f>
        <v/>
      </c>
      <c r="K170" s="2">
        <f>IFERROR(VLOOKUP(C170,Merchants!$A$2:$D$41,4,FALSE),"Merchant not found")</f>
        <v/>
      </c>
      <c r="L170" s="7">
        <f>DATE(YEAR(D170),MONTH(D170),DAY(D170))</f>
        <v/>
      </c>
      <c r="M170" s="5">
        <f>IFERROR(HLOOKUP(F170,Fee_Tiers!$B$1:$E$2,2,FALSE),"Fee tier not found")</f>
        <v/>
      </c>
      <c r="N170" s="8">
        <f>SUMIFS(Daily_Merchant!$C$2:$C$444,Daily_Merchant!$A$2:$A$444,C170,Daily_Merchant!$B$2:$B$444,L170)</f>
        <v/>
      </c>
      <c r="O170" s="2">
        <f>IF(AND(N170&gt;5000,K170&lt;&gt;"East"),"High-Value Merchant Day","")</f>
        <v/>
      </c>
    </row>
    <row r="171">
      <c r="A171" s="2" t="inlineStr">
        <is>
          <t>TXN100169</t>
        </is>
      </c>
      <c r="B171" s="2" t="n">
        <v>60</v>
      </c>
      <c r="C171" s="2" t="n">
        <v>7</v>
      </c>
      <c r="D171" s="12" t="n">
        <v>46024.39652777778</v>
      </c>
      <c r="E171" s="8" t="n">
        <v>2999</v>
      </c>
      <c r="F171" s="2" t="inlineStr">
        <is>
          <t>Wallet</t>
        </is>
      </c>
      <c r="G171" s="2" t="inlineStr">
        <is>
          <t>captured</t>
        </is>
      </c>
      <c r="H171" s="2" t="n">
        <v>30</v>
      </c>
      <c r="I171" s="2">
        <f>IFERROR(VLOOKUP(C171,Merchants!$A$2:$D$41,2,FALSE),"Merchant not found")</f>
        <v/>
      </c>
      <c r="J171" s="2">
        <f>IFERROR(VLOOKUP(C171,Merchants!$A$2:$D$41,3,FALSE),"Merchant not found")</f>
        <v/>
      </c>
      <c r="K171" s="2">
        <f>IFERROR(VLOOKUP(C171,Merchants!$A$2:$D$41,4,FALSE),"Merchant not found")</f>
        <v/>
      </c>
      <c r="L171" s="7">
        <f>DATE(YEAR(D171),MONTH(D171),DAY(D171))</f>
        <v/>
      </c>
      <c r="M171" s="5">
        <f>IFERROR(HLOOKUP(F171,Fee_Tiers!$B$1:$E$2,2,FALSE),"Fee tier not found")</f>
        <v/>
      </c>
      <c r="N171" s="8">
        <f>SUMIFS(Daily_Merchant!$C$2:$C$444,Daily_Merchant!$A$2:$A$444,C171,Daily_Merchant!$B$2:$B$444,L171)</f>
        <v/>
      </c>
      <c r="O171" s="2">
        <f>IF(AND(N171&gt;5000,K171&lt;&gt;"East"),"High-Value Merchant Day","")</f>
        <v/>
      </c>
    </row>
    <row r="172">
      <c r="A172" s="2" t="inlineStr">
        <is>
          <t>TXN100170</t>
        </is>
      </c>
      <c r="B172" s="2" t="n">
        <v>199</v>
      </c>
      <c r="C172" s="2" t="n">
        <v>30</v>
      </c>
      <c r="D172" s="12" t="n">
        <v>46051.71388888889</v>
      </c>
      <c r="E172" s="8" t="n">
        <v>149</v>
      </c>
      <c r="F172" s="2" t="inlineStr">
        <is>
          <t>Netbanking</t>
        </is>
      </c>
      <c r="G172" s="2" t="inlineStr">
        <is>
          <t>captured</t>
        </is>
      </c>
      <c r="H172" s="2" t="n">
        <v>47</v>
      </c>
      <c r="I172" s="2">
        <f>IFERROR(VLOOKUP(C172,Merchants!$A$2:$D$41,2,FALSE),"Merchant not found")</f>
        <v/>
      </c>
      <c r="J172" s="2">
        <f>IFERROR(VLOOKUP(C172,Merchants!$A$2:$D$41,3,FALSE),"Merchant not found")</f>
        <v/>
      </c>
      <c r="K172" s="2">
        <f>IFERROR(VLOOKUP(C172,Merchants!$A$2:$D$41,4,FALSE),"Merchant not found")</f>
        <v/>
      </c>
      <c r="L172" s="7">
        <f>DATE(YEAR(D172),MONTH(D172),DAY(D172))</f>
        <v/>
      </c>
      <c r="M172" s="5">
        <f>IFERROR(HLOOKUP(F172,Fee_Tiers!$B$1:$E$2,2,FALSE),"Fee tier not found")</f>
        <v/>
      </c>
      <c r="N172" s="8">
        <f>SUMIFS(Daily_Merchant!$C$2:$C$444,Daily_Merchant!$A$2:$A$444,C172,Daily_Merchant!$B$2:$B$444,L172)</f>
        <v/>
      </c>
      <c r="O172" s="2">
        <f>IF(AND(N172&gt;5000,K172&lt;&gt;"East"),"High-Value Merchant Day","")</f>
        <v/>
      </c>
    </row>
    <row r="173">
      <c r="A173" s="2" t="inlineStr">
        <is>
          <t>TXN100171</t>
        </is>
      </c>
      <c r="B173" s="2" t="n">
        <v>277</v>
      </c>
      <c r="C173" s="2" t="n">
        <v>27</v>
      </c>
      <c r="D173" s="12" t="n">
        <v>46044.98888888889</v>
      </c>
      <c r="E173" s="8" t="n">
        <v>49</v>
      </c>
      <c r="F173" s="2" t="inlineStr">
        <is>
          <t>UPI</t>
        </is>
      </c>
      <c r="G173" s="2" t="inlineStr">
        <is>
          <t>captured</t>
        </is>
      </c>
      <c r="H173" s="2" t="n">
        <v>75</v>
      </c>
      <c r="I173" s="2">
        <f>IFERROR(VLOOKUP(C173,Merchants!$A$2:$D$41,2,FALSE),"Merchant not found")</f>
        <v/>
      </c>
      <c r="J173" s="2">
        <f>IFERROR(VLOOKUP(C173,Merchants!$A$2:$D$41,3,FALSE),"Merchant not found")</f>
        <v/>
      </c>
      <c r="K173" s="2">
        <f>IFERROR(VLOOKUP(C173,Merchants!$A$2:$D$41,4,FALSE),"Merchant not found")</f>
        <v/>
      </c>
      <c r="L173" s="7">
        <f>DATE(YEAR(D173),MONTH(D173),DAY(D173))</f>
        <v/>
      </c>
      <c r="M173" s="5">
        <f>IFERROR(HLOOKUP(F173,Fee_Tiers!$B$1:$E$2,2,FALSE),"Fee tier not found")</f>
        <v/>
      </c>
      <c r="N173" s="8">
        <f>SUMIFS(Daily_Merchant!$C$2:$C$444,Daily_Merchant!$A$2:$A$444,C173,Daily_Merchant!$B$2:$B$444,L173)</f>
        <v/>
      </c>
      <c r="O173" s="2">
        <f>IF(AND(N173&gt;5000,K173&lt;&gt;"East"),"High-Value Merchant Day","")</f>
        <v/>
      </c>
    </row>
    <row r="174">
      <c r="A174" s="2" t="inlineStr">
        <is>
          <t>TXN100172</t>
        </is>
      </c>
      <c r="B174" s="2" t="n">
        <v>213</v>
      </c>
      <c r="C174" s="2" t="n">
        <v>7</v>
      </c>
      <c r="D174" s="12" t="n">
        <v>46046.96458333333</v>
      </c>
      <c r="E174" s="8" t="n">
        <v>799</v>
      </c>
      <c r="F174" s="2" t="inlineStr">
        <is>
          <t>Netbanking</t>
        </is>
      </c>
      <c r="G174" s="2" t="inlineStr">
        <is>
          <t>captured</t>
        </is>
      </c>
      <c r="H174" s="2" t="n">
        <v>62</v>
      </c>
      <c r="I174" s="2">
        <f>IFERROR(VLOOKUP(C174,Merchants!$A$2:$D$41,2,FALSE),"Merchant not found")</f>
        <v/>
      </c>
      <c r="J174" s="2">
        <f>IFERROR(VLOOKUP(C174,Merchants!$A$2:$D$41,3,FALSE),"Merchant not found")</f>
        <v/>
      </c>
      <c r="K174" s="2">
        <f>IFERROR(VLOOKUP(C174,Merchants!$A$2:$D$41,4,FALSE),"Merchant not found")</f>
        <v/>
      </c>
      <c r="L174" s="7">
        <f>DATE(YEAR(D174),MONTH(D174),DAY(D174))</f>
        <v/>
      </c>
      <c r="M174" s="5">
        <f>IFERROR(HLOOKUP(F174,Fee_Tiers!$B$1:$E$2,2,FALSE),"Fee tier not found")</f>
        <v/>
      </c>
      <c r="N174" s="8">
        <f>SUMIFS(Daily_Merchant!$C$2:$C$444,Daily_Merchant!$A$2:$A$444,C174,Daily_Merchant!$B$2:$B$444,L174)</f>
        <v/>
      </c>
      <c r="O174" s="2">
        <f>IF(AND(N174&gt;5000,K174&lt;&gt;"East"),"High-Value Merchant Day","")</f>
        <v/>
      </c>
    </row>
    <row r="175">
      <c r="A175" s="2" t="inlineStr">
        <is>
          <t>TXN100173</t>
        </is>
      </c>
      <c r="B175" s="2" t="n">
        <v>17</v>
      </c>
      <c r="C175" s="2" t="n">
        <v>24</v>
      </c>
      <c r="D175" s="12" t="n">
        <v>46042.55347222222</v>
      </c>
      <c r="E175" s="8" t="n">
        <v>299</v>
      </c>
      <c r="F175" s="2" t="inlineStr">
        <is>
          <t>UPI</t>
        </is>
      </c>
      <c r="G175" s="2" t="inlineStr">
        <is>
          <t>captured</t>
        </is>
      </c>
      <c r="H175" s="2" t="n">
        <v>27</v>
      </c>
      <c r="I175" s="2">
        <f>IFERROR(VLOOKUP(C175,Merchants!$A$2:$D$41,2,FALSE),"Merchant not found")</f>
        <v/>
      </c>
      <c r="J175" s="2">
        <f>IFERROR(VLOOKUP(C175,Merchants!$A$2:$D$41,3,FALSE),"Merchant not found")</f>
        <v/>
      </c>
      <c r="K175" s="2">
        <f>IFERROR(VLOOKUP(C175,Merchants!$A$2:$D$41,4,FALSE),"Merchant not found")</f>
        <v/>
      </c>
      <c r="L175" s="7">
        <f>DATE(YEAR(D175),MONTH(D175),DAY(D175))</f>
        <v/>
      </c>
      <c r="M175" s="5">
        <f>IFERROR(HLOOKUP(F175,Fee_Tiers!$B$1:$E$2,2,FALSE),"Fee tier not found")</f>
        <v/>
      </c>
      <c r="N175" s="8">
        <f>SUMIFS(Daily_Merchant!$C$2:$C$444,Daily_Merchant!$A$2:$A$444,C175,Daily_Merchant!$B$2:$B$444,L175)</f>
        <v/>
      </c>
      <c r="O175" s="2">
        <f>IF(AND(N175&gt;5000,K175&lt;&gt;"East"),"High-Value Merchant Day","")</f>
        <v/>
      </c>
    </row>
    <row r="176">
      <c r="A176" s="2" t="inlineStr">
        <is>
          <t>TXN100174</t>
        </is>
      </c>
      <c r="B176" s="2" t="n">
        <v>186</v>
      </c>
      <c r="C176" s="2" t="n">
        <v>7</v>
      </c>
      <c r="D176" s="12" t="n">
        <v>46037.59375</v>
      </c>
      <c r="E176" s="8" t="n">
        <v>1499</v>
      </c>
      <c r="F176" s="2" t="inlineStr">
        <is>
          <t>Card</t>
        </is>
      </c>
      <c r="G176" s="2" t="inlineStr">
        <is>
          <t>failed</t>
        </is>
      </c>
      <c r="H176" s="2" t="n">
        <v>87</v>
      </c>
      <c r="I176" s="2">
        <f>IFERROR(VLOOKUP(C176,Merchants!$A$2:$D$41,2,FALSE),"Merchant not found")</f>
        <v/>
      </c>
      <c r="J176" s="2">
        <f>IFERROR(VLOOKUP(C176,Merchants!$A$2:$D$41,3,FALSE),"Merchant not found")</f>
        <v/>
      </c>
      <c r="K176" s="2">
        <f>IFERROR(VLOOKUP(C176,Merchants!$A$2:$D$41,4,FALSE),"Merchant not found")</f>
        <v/>
      </c>
      <c r="L176" s="7">
        <f>DATE(YEAR(D176),MONTH(D176),DAY(D176))</f>
        <v/>
      </c>
      <c r="M176" s="5">
        <f>IFERROR(HLOOKUP(F176,Fee_Tiers!$B$1:$E$2,2,FALSE),"Fee tier not found")</f>
        <v/>
      </c>
      <c r="N176" s="8">
        <f>SUMIFS(Daily_Merchant!$C$2:$C$444,Daily_Merchant!$A$2:$A$444,C176,Daily_Merchant!$B$2:$B$444,L176)</f>
        <v/>
      </c>
      <c r="O176" s="2">
        <f>IF(AND(N176&gt;5000,K176&lt;&gt;"East"),"High-Value Merchant Day","")</f>
        <v/>
      </c>
    </row>
    <row r="177">
      <c r="A177" s="2" t="inlineStr">
        <is>
          <t>TXN100175</t>
        </is>
      </c>
      <c r="B177" s="2" t="n">
        <v>331</v>
      </c>
      <c r="C177" s="2" t="n">
        <v>23</v>
      </c>
      <c r="D177" s="12" t="n">
        <v>46034.74791666667</v>
      </c>
      <c r="E177" s="8" t="n">
        <v>149</v>
      </c>
      <c r="F177" s="2" t="inlineStr">
        <is>
          <t>UPI</t>
        </is>
      </c>
      <c r="G177" s="2" t="inlineStr">
        <is>
          <t>captured</t>
        </is>
      </c>
      <c r="H177" s="2" t="n">
        <v>7</v>
      </c>
      <c r="I177" s="2">
        <f>IFERROR(VLOOKUP(C177,Merchants!$A$2:$D$41,2,FALSE),"Merchant not found")</f>
        <v/>
      </c>
      <c r="J177" s="2">
        <f>IFERROR(VLOOKUP(C177,Merchants!$A$2:$D$41,3,FALSE),"Merchant not found")</f>
        <v/>
      </c>
      <c r="K177" s="2">
        <f>IFERROR(VLOOKUP(C177,Merchants!$A$2:$D$41,4,FALSE),"Merchant not found")</f>
        <v/>
      </c>
      <c r="L177" s="7">
        <f>DATE(YEAR(D177),MONTH(D177),DAY(D177))</f>
        <v/>
      </c>
      <c r="M177" s="5">
        <f>IFERROR(HLOOKUP(F177,Fee_Tiers!$B$1:$E$2,2,FALSE),"Fee tier not found")</f>
        <v/>
      </c>
      <c r="N177" s="8">
        <f>SUMIFS(Daily_Merchant!$C$2:$C$444,Daily_Merchant!$A$2:$A$444,C177,Daily_Merchant!$B$2:$B$444,L177)</f>
        <v/>
      </c>
      <c r="O177" s="2">
        <f>IF(AND(N177&gt;5000,K177&lt;&gt;"East"),"High-Value Merchant Day","")</f>
        <v/>
      </c>
    </row>
    <row r="178">
      <c r="A178" s="2" t="inlineStr">
        <is>
          <t>TXN100176</t>
        </is>
      </c>
      <c r="B178" s="2" t="n">
        <v>63</v>
      </c>
      <c r="C178" s="2" t="n">
        <v>30</v>
      </c>
      <c r="D178" s="12" t="n">
        <v>46035.34166666667</v>
      </c>
      <c r="E178" s="8" t="n">
        <v>1499</v>
      </c>
      <c r="F178" s="2" t="inlineStr">
        <is>
          <t>Card</t>
        </is>
      </c>
      <c r="G178" s="2" t="inlineStr">
        <is>
          <t>captured</t>
        </is>
      </c>
      <c r="H178" s="2" t="n">
        <v>11</v>
      </c>
      <c r="I178" s="2">
        <f>IFERROR(VLOOKUP(C178,Merchants!$A$2:$D$41,2,FALSE),"Merchant not found")</f>
        <v/>
      </c>
      <c r="J178" s="2">
        <f>IFERROR(VLOOKUP(C178,Merchants!$A$2:$D$41,3,FALSE),"Merchant not found")</f>
        <v/>
      </c>
      <c r="K178" s="2">
        <f>IFERROR(VLOOKUP(C178,Merchants!$A$2:$D$41,4,FALSE),"Merchant not found")</f>
        <v/>
      </c>
      <c r="L178" s="7">
        <f>DATE(YEAR(D178),MONTH(D178),DAY(D178))</f>
        <v/>
      </c>
      <c r="M178" s="5">
        <f>IFERROR(HLOOKUP(F178,Fee_Tiers!$B$1:$E$2,2,FALSE),"Fee tier not found")</f>
        <v/>
      </c>
      <c r="N178" s="8">
        <f>SUMIFS(Daily_Merchant!$C$2:$C$444,Daily_Merchant!$A$2:$A$444,C178,Daily_Merchant!$B$2:$B$444,L178)</f>
        <v/>
      </c>
      <c r="O178" s="2">
        <f>IF(AND(N178&gt;5000,K178&lt;&gt;"East"),"High-Value Merchant Day","")</f>
        <v/>
      </c>
    </row>
    <row r="179">
      <c r="A179" s="2" t="inlineStr">
        <is>
          <t>TXN100177</t>
        </is>
      </c>
      <c r="B179" s="2" t="n">
        <v>328</v>
      </c>
      <c r="C179" s="2" t="n">
        <v>39</v>
      </c>
      <c r="D179" s="12" t="n">
        <v>46044.27847222222</v>
      </c>
      <c r="E179" s="8" t="n">
        <v>4999</v>
      </c>
      <c r="F179" s="2" t="inlineStr">
        <is>
          <t>Wallet</t>
        </is>
      </c>
      <c r="G179" s="2" t="inlineStr">
        <is>
          <t>chargeback</t>
        </is>
      </c>
      <c r="H179" s="2" t="n">
        <v>2</v>
      </c>
      <c r="I179" s="2">
        <f>IFERROR(VLOOKUP(C179,Merchants!$A$2:$D$41,2,FALSE),"Merchant not found")</f>
        <v/>
      </c>
      <c r="J179" s="2">
        <f>IFERROR(VLOOKUP(C179,Merchants!$A$2:$D$41,3,FALSE),"Merchant not found")</f>
        <v/>
      </c>
      <c r="K179" s="2">
        <f>IFERROR(VLOOKUP(C179,Merchants!$A$2:$D$41,4,FALSE),"Merchant not found")</f>
        <v/>
      </c>
      <c r="L179" s="7">
        <f>DATE(YEAR(D179),MONTH(D179),DAY(D179))</f>
        <v/>
      </c>
      <c r="M179" s="5">
        <f>IFERROR(HLOOKUP(F179,Fee_Tiers!$B$1:$E$2,2,FALSE),"Fee tier not found")</f>
        <v/>
      </c>
      <c r="N179" s="8">
        <f>SUMIFS(Daily_Merchant!$C$2:$C$444,Daily_Merchant!$A$2:$A$444,C179,Daily_Merchant!$B$2:$B$444,L179)</f>
        <v/>
      </c>
      <c r="O179" s="2">
        <f>IF(AND(N179&gt;5000,K179&lt;&gt;"East"),"High-Value Merchant Day","")</f>
        <v/>
      </c>
    </row>
    <row r="180">
      <c r="A180" s="2" t="inlineStr">
        <is>
          <t>TXN100178</t>
        </is>
      </c>
      <c r="B180" s="2" t="n">
        <v>65</v>
      </c>
      <c r="C180" s="2" t="n">
        <v>37</v>
      </c>
      <c r="D180" s="12" t="n">
        <v>46024.42708333334</v>
      </c>
      <c r="E180" s="8" t="n">
        <v>2999</v>
      </c>
      <c r="F180" s="2" t="inlineStr">
        <is>
          <t>Card</t>
        </is>
      </c>
      <c r="G180" s="2" t="inlineStr">
        <is>
          <t>captured</t>
        </is>
      </c>
      <c r="H180" s="2" t="n">
        <v>26</v>
      </c>
      <c r="I180" s="2">
        <f>IFERROR(VLOOKUP(C180,Merchants!$A$2:$D$41,2,FALSE),"Merchant not found")</f>
        <v/>
      </c>
      <c r="J180" s="2">
        <f>IFERROR(VLOOKUP(C180,Merchants!$A$2:$D$41,3,FALSE),"Merchant not found")</f>
        <v/>
      </c>
      <c r="K180" s="2">
        <f>IFERROR(VLOOKUP(C180,Merchants!$A$2:$D$41,4,FALSE),"Merchant not found")</f>
        <v/>
      </c>
      <c r="L180" s="7">
        <f>DATE(YEAR(D180),MONTH(D180),DAY(D180))</f>
        <v/>
      </c>
      <c r="M180" s="5">
        <f>IFERROR(HLOOKUP(F180,Fee_Tiers!$B$1:$E$2,2,FALSE),"Fee tier not found")</f>
        <v/>
      </c>
      <c r="N180" s="8">
        <f>SUMIFS(Daily_Merchant!$C$2:$C$444,Daily_Merchant!$A$2:$A$444,C180,Daily_Merchant!$B$2:$B$444,L180)</f>
        <v/>
      </c>
      <c r="O180" s="2">
        <f>IF(AND(N180&gt;5000,K180&lt;&gt;"East"),"High-Value Merchant Day","")</f>
        <v/>
      </c>
    </row>
    <row r="181">
      <c r="A181" s="2" t="inlineStr">
        <is>
          <t>TXN100179</t>
        </is>
      </c>
      <c r="B181" s="2" t="n">
        <v>301</v>
      </c>
      <c r="C181" s="2" t="n">
        <v>14</v>
      </c>
      <c r="D181" s="12" t="n">
        <v>46025.71736111111</v>
      </c>
      <c r="E181" s="8" t="n">
        <v>149</v>
      </c>
      <c r="F181" s="2" t="inlineStr">
        <is>
          <t>UPI</t>
        </is>
      </c>
      <c r="G181" s="2" t="inlineStr">
        <is>
          <t>captured</t>
        </is>
      </c>
      <c r="H181" s="2" t="n">
        <v>29</v>
      </c>
      <c r="I181" s="2">
        <f>IFERROR(VLOOKUP(C181,Merchants!$A$2:$D$41,2,FALSE),"Merchant not found")</f>
        <v/>
      </c>
      <c r="J181" s="2">
        <f>IFERROR(VLOOKUP(C181,Merchants!$A$2:$D$41,3,FALSE),"Merchant not found")</f>
        <v/>
      </c>
      <c r="K181" s="2">
        <f>IFERROR(VLOOKUP(C181,Merchants!$A$2:$D$41,4,FALSE),"Merchant not found")</f>
        <v/>
      </c>
      <c r="L181" s="7">
        <f>DATE(YEAR(D181),MONTH(D181),DAY(D181))</f>
        <v/>
      </c>
      <c r="M181" s="5">
        <f>IFERROR(HLOOKUP(F181,Fee_Tiers!$B$1:$E$2,2,FALSE),"Fee tier not found")</f>
        <v/>
      </c>
      <c r="N181" s="8">
        <f>SUMIFS(Daily_Merchant!$C$2:$C$444,Daily_Merchant!$A$2:$A$444,C181,Daily_Merchant!$B$2:$B$444,L181)</f>
        <v/>
      </c>
      <c r="O181" s="2">
        <f>IF(AND(N181&gt;5000,K181&lt;&gt;"East"),"High-Value Merchant Day","")</f>
        <v/>
      </c>
    </row>
    <row r="182">
      <c r="A182" s="2" t="inlineStr">
        <is>
          <t>TXN100180</t>
        </is>
      </c>
      <c r="B182" s="2" t="n">
        <v>306</v>
      </c>
      <c r="C182" s="2" t="n">
        <v>1</v>
      </c>
      <c r="D182" s="12" t="n">
        <v>46033.20138888889</v>
      </c>
      <c r="E182" s="8" t="n">
        <v>299</v>
      </c>
      <c r="F182" s="2" t="inlineStr">
        <is>
          <t>UPI</t>
        </is>
      </c>
      <c r="G182" s="2" t="inlineStr">
        <is>
          <t>failed</t>
        </is>
      </c>
      <c r="H182" s="2" t="n">
        <v>35</v>
      </c>
      <c r="I182" s="2">
        <f>IFERROR(VLOOKUP(C182,Merchants!$A$2:$D$41,2,FALSE),"Merchant not found")</f>
        <v/>
      </c>
      <c r="J182" s="2">
        <f>IFERROR(VLOOKUP(C182,Merchants!$A$2:$D$41,3,FALSE),"Merchant not found")</f>
        <v/>
      </c>
      <c r="K182" s="2">
        <f>IFERROR(VLOOKUP(C182,Merchants!$A$2:$D$41,4,FALSE),"Merchant not found")</f>
        <v/>
      </c>
      <c r="L182" s="7">
        <f>DATE(YEAR(D182),MONTH(D182),DAY(D182))</f>
        <v/>
      </c>
      <c r="M182" s="5">
        <f>IFERROR(HLOOKUP(F182,Fee_Tiers!$B$1:$E$2,2,FALSE),"Fee tier not found")</f>
        <v/>
      </c>
      <c r="N182" s="8">
        <f>SUMIFS(Daily_Merchant!$C$2:$C$444,Daily_Merchant!$A$2:$A$444,C182,Daily_Merchant!$B$2:$B$444,L182)</f>
        <v/>
      </c>
      <c r="O182" s="2">
        <f>IF(AND(N182&gt;5000,K182&lt;&gt;"East"),"High-Value Merchant Day","")</f>
        <v/>
      </c>
    </row>
    <row r="183">
      <c r="A183" s="2" t="inlineStr">
        <is>
          <t>TXN100181</t>
        </is>
      </c>
      <c r="B183" s="2" t="n">
        <v>277</v>
      </c>
      <c r="C183" s="2" t="n">
        <v>17</v>
      </c>
      <c r="D183" s="12" t="n">
        <v>46050.17222222222</v>
      </c>
      <c r="E183" s="8" t="n">
        <v>299</v>
      </c>
      <c r="F183" s="2" t="inlineStr">
        <is>
          <t>UPI</t>
        </is>
      </c>
      <c r="G183" s="2" t="inlineStr">
        <is>
          <t>captured</t>
        </is>
      </c>
      <c r="H183" s="2" t="n">
        <v>22</v>
      </c>
      <c r="I183" s="2">
        <f>IFERROR(VLOOKUP(C183,Merchants!$A$2:$D$41,2,FALSE),"Merchant not found")</f>
        <v/>
      </c>
      <c r="J183" s="2">
        <f>IFERROR(VLOOKUP(C183,Merchants!$A$2:$D$41,3,FALSE),"Merchant not found")</f>
        <v/>
      </c>
      <c r="K183" s="2">
        <f>IFERROR(VLOOKUP(C183,Merchants!$A$2:$D$41,4,FALSE),"Merchant not found")</f>
        <v/>
      </c>
      <c r="L183" s="7">
        <f>DATE(YEAR(D183),MONTH(D183),DAY(D183))</f>
        <v/>
      </c>
      <c r="M183" s="5">
        <f>IFERROR(HLOOKUP(F183,Fee_Tiers!$B$1:$E$2,2,FALSE),"Fee tier not found")</f>
        <v/>
      </c>
      <c r="N183" s="8">
        <f>SUMIFS(Daily_Merchant!$C$2:$C$444,Daily_Merchant!$A$2:$A$444,C183,Daily_Merchant!$B$2:$B$444,L183)</f>
        <v/>
      </c>
      <c r="O183" s="2">
        <f>IF(AND(N183&gt;5000,K183&lt;&gt;"East"),"High-Value Merchant Day","")</f>
        <v/>
      </c>
    </row>
    <row r="184">
      <c r="A184" s="2" t="inlineStr">
        <is>
          <t>TXN100182</t>
        </is>
      </c>
      <c r="B184" s="2" t="n">
        <v>14</v>
      </c>
      <c r="C184" s="2" t="n">
        <v>9</v>
      </c>
      <c r="D184" s="12" t="n">
        <v>46026.91319444445</v>
      </c>
      <c r="E184" s="8" t="n">
        <v>499</v>
      </c>
      <c r="F184" s="2" t="inlineStr">
        <is>
          <t>UPI</t>
        </is>
      </c>
      <c r="G184" s="2" t="inlineStr">
        <is>
          <t>captured</t>
        </is>
      </c>
      <c r="H184" s="2" t="n">
        <v>1</v>
      </c>
      <c r="I184" s="2">
        <f>IFERROR(VLOOKUP(C184,Merchants!$A$2:$D$41,2,FALSE),"Merchant not found")</f>
        <v/>
      </c>
      <c r="J184" s="2">
        <f>IFERROR(VLOOKUP(C184,Merchants!$A$2:$D$41,3,FALSE),"Merchant not found")</f>
        <v/>
      </c>
      <c r="K184" s="2">
        <f>IFERROR(VLOOKUP(C184,Merchants!$A$2:$D$41,4,FALSE),"Merchant not found")</f>
        <v/>
      </c>
      <c r="L184" s="7">
        <f>DATE(YEAR(D184),MONTH(D184),DAY(D184))</f>
        <v/>
      </c>
      <c r="M184" s="5">
        <f>IFERROR(HLOOKUP(F184,Fee_Tiers!$B$1:$E$2,2,FALSE),"Fee tier not found")</f>
        <v/>
      </c>
      <c r="N184" s="8">
        <f>SUMIFS(Daily_Merchant!$C$2:$C$444,Daily_Merchant!$A$2:$A$444,C184,Daily_Merchant!$B$2:$B$444,L184)</f>
        <v/>
      </c>
      <c r="O184" s="2">
        <f>IF(AND(N184&gt;5000,K184&lt;&gt;"East"),"High-Value Merchant Day","")</f>
        <v/>
      </c>
    </row>
    <row r="185">
      <c r="A185" s="2" t="inlineStr">
        <is>
          <t>TXN100183</t>
        </is>
      </c>
      <c r="B185" s="2" t="n">
        <v>166</v>
      </c>
      <c r="C185" s="2" t="n">
        <v>2</v>
      </c>
      <c r="D185" s="12" t="n">
        <v>46034.31736111111</v>
      </c>
      <c r="E185" s="8" t="n">
        <v>299</v>
      </c>
      <c r="F185" s="2" t="inlineStr">
        <is>
          <t>Card</t>
        </is>
      </c>
      <c r="G185" s="2" t="inlineStr">
        <is>
          <t>captured</t>
        </is>
      </c>
      <c r="H185" s="2" t="n">
        <v>22</v>
      </c>
      <c r="I185" s="2">
        <f>IFERROR(VLOOKUP(C185,Merchants!$A$2:$D$41,2,FALSE),"Merchant not found")</f>
        <v/>
      </c>
      <c r="J185" s="2">
        <f>IFERROR(VLOOKUP(C185,Merchants!$A$2:$D$41,3,FALSE),"Merchant not found")</f>
        <v/>
      </c>
      <c r="K185" s="2">
        <f>IFERROR(VLOOKUP(C185,Merchants!$A$2:$D$41,4,FALSE),"Merchant not found")</f>
        <v/>
      </c>
      <c r="L185" s="7">
        <f>DATE(YEAR(D185),MONTH(D185),DAY(D185))</f>
        <v/>
      </c>
      <c r="M185" s="5">
        <f>IFERROR(HLOOKUP(F185,Fee_Tiers!$B$1:$E$2,2,FALSE),"Fee tier not found")</f>
        <v/>
      </c>
      <c r="N185" s="8">
        <f>SUMIFS(Daily_Merchant!$C$2:$C$444,Daily_Merchant!$A$2:$A$444,C185,Daily_Merchant!$B$2:$B$444,L185)</f>
        <v/>
      </c>
      <c r="O185" s="2">
        <f>IF(AND(N185&gt;5000,K185&lt;&gt;"East"),"High-Value Merchant Day","")</f>
        <v/>
      </c>
    </row>
    <row r="186">
      <c r="A186" s="2" t="inlineStr">
        <is>
          <t>TXN100184</t>
        </is>
      </c>
      <c r="B186" s="2" t="n">
        <v>216</v>
      </c>
      <c r="C186" s="2" t="n">
        <v>34</v>
      </c>
      <c r="D186" s="12" t="n">
        <v>46031.04722222222</v>
      </c>
      <c r="E186" s="8" t="n">
        <v>299</v>
      </c>
      <c r="F186" s="2" t="inlineStr">
        <is>
          <t>Card</t>
        </is>
      </c>
      <c r="G186" s="2" t="inlineStr">
        <is>
          <t>captured</t>
        </is>
      </c>
      <c r="H186" s="2" t="n">
        <v>14</v>
      </c>
      <c r="I186" s="2">
        <f>IFERROR(VLOOKUP(C186,Merchants!$A$2:$D$41,2,FALSE),"Merchant not found")</f>
        <v/>
      </c>
      <c r="J186" s="2">
        <f>IFERROR(VLOOKUP(C186,Merchants!$A$2:$D$41,3,FALSE),"Merchant not found")</f>
        <v/>
      </c>
      <c r="K186" s="2">
        <f>IFERROR(VLOOKUP(C186,Merchants!$A$2:$D$41,4,FALSE),"Merchant not found")</f>
        <v/>
      </c>
      <c r="L186" s="7">
        <f>DATE(YEAR(D186),MONTH(D186),DAY(D186))</f>
        <v/>
      </c>
      <c r="M186" s="5">
        <f>IFERROR(HLOOKUP(F186,Fee_Tiers!$B$1:$E$2,2,FALSE),"Fee tier not found")</f>
        <v/>
      </c>
      <c r="N186" s="8">
        <f>SUMIFS(Daily_Merchant!$C$2:$C$444,Daily_Merchant!$A$2:$A$444,C186,Daily_Merchant!$B$2:$B$444,L186)</f>
        <v/>
      </c>
      <c r="O186" s="2">
        <f>IF(AND(N186&gt;5000,K186&lt;&gt;"East"),"High-Value Merchant Day","")</f>
        <v/>
      </c>
    </row>
    <row r="187">
      <c r="A187" s="2" t="inlineStr">
        <is>
          <t>TXN100185</t>
        </is>
      </c>
      <c r="B187" s="2" t="n">
        <v>230</v>
      </c>
      <c r="C187" s="2" t="n">
        <v>24</v>
      </c>
      <c r="D187" s="12" t="n">
        <v>46046.10416666666</v>
      </c>
      <c r="E187" s="8" t="n">
        <v>49</v>
      </c>
      <c r="F187" s="2" t="inlineStr">
        <is>
          <t>UPI</t>
        </is>
      </c>
      <c r="G187" s="2" t="inlineStr">
        <is>
          <t>captured</t>
        </is>
      </c>
      <c r="H187" s="2" t="n">
        <v>65</v>
      </c>
      <c r="I187" s="2">
        <f>IFERROR(VLOOKUP(C187,Merchants!$A$2:$D$41,2,FALSE),"Merchant not found")</f>
        <v/>
      </c>
      <c r="J187" s="2">
        <f>IFERROR(VLOOKUP(C187,Merchants!$A$2:$D$41,3,FALSE),"Merchant not found")</f>
        <v/>
      </c>
      <c r="K187" s="2">
        <f>IFERROR(VLOOKUP(C187,Merchants!$A$2:$D$41,4,FALSE),"Merchant not found")</f>
        <v/>
      </c>
      <c r="L187" s="7">
        <f>DATE(YEAR(D187),MONTH(D187),DAY(D187))</f>
        <v/>
      </c>
      <c r="M187" s="5">
        <f>IFERROR(HLOOKUP(F187,Fee_Tiers!$B$1:$E$2,2,FALSE),"Fee tier not found")</f>
        <v/>
      </c>
      <c r="N187" s="8">
        <f>SUMIFS(Daily_Merchant!$C$2:$C$444,Daily_Merchant!$A$2:$A$444,C187,Daily_Merchant!$B$2:$B$444,L187)</f>
        <v/>
      </c>
      <c r="O187" s="2">
        <f>IF(AND(N187&gt;5000,K187&lt;&gt;"East"),"High-Value Merchant Day","")</f>
        <v/>
      </c>
    </row>
    <row r="188">
      <c r="A188" s="2" t="inlineStr">
        <is>
          <t>TXN100186</t>
        </is>
      </c>
      <c r="B188" s="2" t="n">
        <v>258</v>
      </c>
      <c r="C188" s="2" t="n">
        <v>15</v>
      </c>
      <c r="D188" s="12" t="n">
        <v>46041.14444444444</v>
      </c>
      <c r="E188" s="8" t="n">
        <v>499</v>
      </c>
      <c r="F188" s="2" t="inlineStr">
        <is>
          <t>Wallet</t>
        </is>
      </c>
      <c r="G188" s="2" t="inlineStr">
        <is>
          <t>captured</t>
        </is>
      </c>
      <c r="H188" s="2" t="n">
        <v>78</v>
      </c>
      <c r="I188" s="2">
        <f>IFERROR(VLOOKUP(C188,Merchants!$A$2:$D$41,2,FALSE),"Merchant not found")</f>
        <v/>
      </c>
      <c r="J188" s="2">
        <f>IFERROR(VLOOKUP(C188,Merchants!$A$2:$D$41,3,FALSE),"Merchant not found")</f>
        <v/>
      </c>
      <c r="K188" s="2">
        <f>IFERROR(VLOOKUP(C188,Merchants!$A$2:$D$41,4,FALSE),"Merchant not found")</f>
        <v/>
      </c>
      <c r="L188" s="7">
        <f>DATE(YEAR(D188),MONTH(D188),DAY(D188))</f>
        <v/>
      </c>
      <c r="M188" s="5">
        <f>IFERROR(HLOOKUP(F188,Fee_Tiers!$B$1:$E$2,2,FALSE),"Fee tier not found")</f>
        <v/>
      </c>
      <c r="N188" s="8">
        <f>SUMIFS(Daily_Merchant!$C$2:$C$444,Daily_Merchant!$A$2:$A$444,C188,Daily_Merchant!$B$2:$B$444,L188)</f>
        <v/>
      </c>
      <c r="O188" s="2">
        <f>IF(AND(N188&gt;5000,K188&lt;&gt;"East"),"High-Value Merchant Day","")</f>
        <v/>
      </c>
    </row>
    <row r="189">
      <c r="A189" s="2" t="inlineStr">
        <is>
          <t>TXN100187</t>
        </is>
      </c>
      <c r="B189" s="2" t="n">
        <v>338</v>
      </c>
      <c r="C189" s="2" t="n">
        <v>34</v>
      </c>
      <c r="D189" s="12" t="n">
        <v>46024.99305555555</v>
      </c>
      <c r="E189" s="8" t="n">
        <v>49</v>
      </c>
      <c r="F189" s="2" t="inlineStr">
        <is>
          <t>UPI</t>
        </is>
      </c>
      <c r="G189" s="2" t="inlineStr">
        <is>
          <t>captured</t>
        </is>
      </c>
      <c r="H189" s="2" t="n">
        <v>38</v>
      </c>
      <c r="I189" s="2">
        <f>IFERROR(VLOOKUP(C189,Merchants!$A$2:$D$41,2,FALSE),"Merchant not found")</f>
        <v/>
      </c>
      <c r="J189" s="2">
        <f>IFERROR(VLOOKUP(C189,Merchants!$A$2:$D$41,3,FALSE),"Merchant not found")</f>
        <v/>
      </c>
      <c r="K189" s="2">
        <f>IFERROR(VLOOKUP(C189,Merchants!$A$2:$D$41,4,FALSE),"Merchant not found")</f>
        <v/>
      </c>
      <c r="L189" s="7">
        <f>DATE(YEAR(D189),MONTH(D189),DAY(D189))</f>
        <v/>
      </c>
      <c r="M189" s="5">
        <f>IFERROR(HLOOKUP(F189,Fee_Tiers!$B$1:$E$2,2,FALSE),"Fee tier not found")</f>
        <v/>
      </c>
      <c r="N189" s="8">
        <f>SUMIFS(Daily_Merchant!$C$2:$C$444,Daily_Merchant!$A$2:$A$444,C189,Daily_Merchant!$B$2:$B$444,L189)</f>
        <v/>
      </c>
      <c r="O189" s="2">
        <f>IF(AND(N189&gt;5000,K189&lt;&gt;"East"),"High-Value Merchant Day","")</f>
        <v/>
      </c>
    </row>
    <row r="190">
      <c r="A190" s="2" t="inlineStr">
        <is>
          <t>TXN100188</t>
        </is>
      </c>
      <c r="B190" s="2" t="n">
        <v>32</v>
      </c>
      <c r="C190" s="2" t="n">
        <v>31</v>
      </c>
      <c r="D190" s="12" t="n">
        <v>46037.83402777778</v>
      </c>
      <c r="E190" s="8" t="n">
        <v>299</v>
      </c>
      <c r="F190" s="2" t="inlineStr">
        <is>
          <t>UPI</t>
        </is>
      </c>
      <c r="G190" s="2" t="inlineStr">
        <is>
          <t>captured</t>
        </is>
      </c>
      <c r="H190" s="2" t="n">
        <v>51</v>
      </c>
      <c r="I190" s="2">
        <f>IFERROR(VLOOKUP(C190,Merchants!$A$2:$D$41,2,FALSE),"Merchant not found")</f>
        <v/>
      </c>
      <c r="J190" s="2">
        <f>IFERROR(VLOOKUP(C190,Merchants!$A$2:$D$41,3,FALSE),"Merchant not found")</f>
        <v/>
      </c>
      <c r="K190" s="2">
        <f>IFERROR(VLOOKUP(C190,Merchants!$A$2:$D$41,4,FALSE),"Merchant not found")</f>
        <v/>
      </c>
      <c r="L190" s="7">
        <f>DATE(YEAR(D190),MONTH(D190),DAY(D190))</f>
        <v/>
      </c>
      <c r="M190" s="5">
        <f>IFERROR(HLOOKUP(F190,Fee_Tiers!$B$1:$E$2,2,FALSE),"Fee tier not found")</f>
        <v/>
      </c>
      <c r="N190" s="8">
        <f>SUMIFS(Daily_Merchant!$C$2:$C$444,Daily_Merchant!$A$2:$A$444,C190,Daily_Merchant!$B$2:$B$444,L190)</f>
        <v/>
      </c>
      <c r="O190" s="2">
        <f>IF(AND(N190&gt;5000,K190&lt;&gt;"East"),"High-Value Merchant Day","")</f>
        <v/>
      </c>
    </row>
    <row r="191">
      <c r="A191" s="2" t="inlineStr">
        <is>
          <t>TXN100189</t>
        </is>
      </c>
      <c r="B191" s="2" t="n">
        <v>252</v>
      </c>
      <c r="C191" s="2" t="n">
        <v>29</v>
      </c>
      <c r="D191" s="12" t="n">
        <v>46036.87916666667</v>
      </c>
      <c r="E191" s="8" t="n">
        <v>1499</v>
      </c>
      <c r="F191" s="2" t="inlineStr">
        <is>
          <t>UPI</t>
        </is>
      </c>
      <c r="G191" s="2" t="inlineStr">
        <is>
          <t>captured</t>
        </is>
      </c>
      <c r="H191" s="2" t="n">
        <v>9</v>
      </c>
      <c r="I191" s="2">
        <f>IFERROR(VLOOKUP(C191,Merchants!$A$2:$D$41,2,FALSE),"Merchant not found")</f>
        <v/>
      </c>
      <c r="J191" s="2">
        <f>IFERROR(VLOOKUP(C191,Merchants!$A$2:$D$41,3,FALSE),"Merchant not found")</f>
        <v/>
      </c>
      <c r="K191" s="2">
        <f>IFERROR(VLOOKUP(C191,Merchants!$A$2:$D$41,4,FALSE),"Merchant not found")</f>
        <v/>
      </c>
      <c r="L191" s="7">
        <f>DATE(YEAR(D191),MONTH(D191),DAY(D191))</f>
        <v/>
      </c>
      <c r="M191" s="5">
        <f>IFERROR(HLOOKUP(F191,Fee_Tiers!$B$1:$E$2,2,FALSE),"Fee tier not found")</f>
        <v/>
      </c>
      <c r="N191" s="8">
        <f>SUMIFS(Daily_Merchant!$C$2:$C$444,Daily_Merchant!$A$2:$A$444,C191,Daily_Merchant!$B$2:$B$444,L191)</f>
        <v/>
      </c>
      <c r="O191" s="2">
        <f>IF(AND(N191&gt;5000,K191&lt;&gt;"East"),"High-Value Merchant Day","")</f>
        <v/>
      </c>
    </row>
    <row r="192">
      <c r="A192" s="2" t="inlineStr">
        <is>
          <t>TXN100190</t>
        </is>
      </c>
      <c r="B192" s="2" t="n">
        <v>312</v>
      </c>
      <c r="C192" s="2" t="n">
        <v>10</v>
      </c>
      <c r="D192" s="12" t="n">
        <v>46051.09722222222</v>
      </c>
      <c r="E192" s="8" t="n">
        <v>799</v>
      </c>
      <c r="F192" s="2" t="inlineStr">
        <is>
          <t>UPI</t>
        </is>
      </c>
      <c r="G192" s="2" t="inlineStr">
        <is>
          <t>captured</t>
        </is>
      </c>
      <c r="H192" s="2" t="n">
        <v>8</v>
      </c>
      <c r="I192" s="2">
        <f>IFERROR(VLOOKUP(C192,Merchants!$A$2:$D$41,2,FALSE),"Merchant not found")</f>
        <v/>
      </c>
      <c r="J192" s="2">
        <f>IFERROR(VLOOKUP(C192,Merchants!$A$2:$D$41,3,FALSE),"Merchant not found")</f>
        <v/>
      </c>
      <c r="K192" s="2">
        <f>IFERROR(VLOOKUP(C192,Merchants!$A$2:$D$41,4,FALSE),"Merchant not found")</f>
        <v/>
      </c>
      <c r="L192" s="7">
        <f>DATE(YEAR(D192),MONTH(D192),DAY(D192))</f>
        <v/>
      </c>
      <c r="M192" s="5">
        <f>IFERROR(HLOOKUP(F192,Fee_Tiers!$B$1:$E$2,2,FALSE),"Fee tier not found")</f>
        <v/>
      </c>
      <c r="N192" s="8">
        <f>SUMIFS(Daily_Merchant!$C$2:$C$444,Daily_Merchant!$A$2:$A$444,C192,Daily_Merchant!$B$2:$B$444,L192)</f>
        <v/>
      </c>
      <c r="O192" s="2">
        <f>IF(AND(N192&gt;5000,K192&lt;&gt;"East"),"High-Value Merchant Day","")</f>
        <v/>
      </c>
    </row>
    <row r="193">
      <c r="A193" s="2" t="inlineStr">
        <is>
          <t>TXN100191</t>
        </is>
      </c>
      <c r="B193" s="2" t="n">
        <v>325</v>
      </c>
      <c r="C193" s="2" t="n">
        <v>38</v>
      </c>
      <c r="D193" s="12" t="n">
        <v>46027.36041666667</v>
      </c>
      <c r="E193" s="8" t="n">
        <v>1499</v>
      </c>
      <c r="F193" s="2" t="inlineStr">
        <is>
          <t>Netbanking</t>
        </is>
      </c>
      <c r="G193" s="2" t="inlineStr">
        <is>
          <t>captured</t>
        </is>
      </c>
      <c r="H193" s="2" t="n">
        <v>70</v>
      </c>
      <c r="I193" s="2">
        <f>IFERROR(VLOOKUP(C193,Merchants!$A$2:$D$41,2,FALSE),"Merchant not found")</f>
        <v/>
      </c>
      <c r="J193" s="2">
        <f>IFERROR(VLOOKUP(C193,Merchants!$A$2:$D$41,3,FALSE),"Merchant not found")</f>
        <v/>
      </c>
      <c r="K193" s="2">
        <f>IFERROR(VLOOKUP(C193,Merchants!$A$2:$D$41,4,FALSE),"Merchant not found")</f>
        <v/>
      </c>
      <c r="L193" s="7">
        <f>DATE(YEAR(D193),MONTH(D193),DAY(D193))</f>
        <v/>
      </c>
      <c r="M193" s="5">
        <f>IFERROR(HLOOKUP(F193,Fee_Tiers!$B$1:$E$2,2,FALSE),"Fee tier not found")</f>
        <v/>
      </c>
      <c r="N193" s="8">
        <f>SUMIFS(Daily_Merchant!$C$2:$C$444,Daily_Merchant!$A$2:$A$444,C193,Daily_Merchant!$B$2:$B$444,L193)</f>
        <v/>
      </c>
      <c r="O193" s="2">
        <f>IF(AND(N193&gt;5000,K193&lt;&gt;"East"),"High-Value Merchant Day","")</f>
        <v/>
      </c>
    </row>
    <row r="194">
      <c r="A194" s="2" t="inlineStr">
        <is>
          <t>TXN100192</t>
        </is>
      </c>
      <c r="B194" s="2" t="n">
        <v>306</v>
      </c>
      <c r="C194" s="2" t="n">
        <v>34</v>
      </c>
      <c r="D194" s="12" t="n">
        <v>46045.43333333333</v>
      </c>
      <c r="E194" s="8" t="n">
        <v>2999</v>
      </c>
      <c r="F194" s="2" t="inlineStr">
        <is>
          <t>UPI</t>
        </is>
      </c>
      <c r="G194" s="2" t="inlineStr">
        <is>
          <t>captured</t>
        </is>
      </c>
      <c r="H194" s="2" t="n">
        <v>37</v>
      </c>
      <c r="I194" s="2">
        <f>IFERROR(VLOOKUP(C194,Merchants!$A$2:$D$41,2,FALSE),"Merchant not found")</f>
        <v/>
      </c>
      <c r="J194" s="2">
        <f>IFERROR(VLOOKUP(C194,Merchants!$A$2:$D$41,3,FALSE),"Merchant not found")</f>
        <v/>
      </c>
      <c r="K194" s="2">
        <f>IFERROR(VLOOKUP(C194,Merchants!$A$2:$D$41,4,FALSE),"Merchant not found")</f>
        <v/>
      </c>
      <c r="L194" s="7">
        <f>DATE(YEAR(D194),MONTH(D194),DAY(D194))</f>
        <v/>
      </c>
      <c r="M194" s="5">
        <f>IFERROR(HLOOKUP(F194,Fee_Tiers!$B$1:$E$2,2,FALSE),"Fee tier not found")</f>
        <v/>
      </c>
      <c r="N194" s="8">
        <f>SUMIFS(Daily_Merchant!$C$2:$C$444,Daily_Merchant!$A$2:$A$444,C194,Daily_Merchant!$B$2:$B$444,L194)</f>
        <v/>
      </c>
      <c r="O194" s="2">
        <f>IF(AND(N194&gt;5000,K194&lt;&gt;"East"),"High-Value Merchant Day","")</f>
        <v/>
      </c>
    </row>
    <row r="195">
      <c r="A195" s="2" t="inlineStr">
        <is>
          <t>TXN100193</t>
        </is>
      </c>
      <c r="B195" s="2" t="n">
        <v>221</v>
      </c>
      <c r="C195" s="2" t="n">
        <v>7</v>
      </c>
      <c r="D195" s="12" t="n">
        <v>46037.69305555556</v>
      </c>
      <c r="E195" s="8" t="n">
        <v>149</v>
      </c>
      <c r="F195" s="2" t="inlineStr">
        <is>
          <t>Netbanking</t>
        </is>
      </c>
      <c r="G195" s="2" t="inlineStr">
        <is>
          <t>captured</t>
        </is>
      </c>
      <c r="H195" s="2" t="n">
        <v>89</v>
      </c>
      <c r="I195" s="2">
        <f>IFERROR(VLOOKUP(C195,Merchants!$A$2:$D$41,2,FALSE),"Merchant not found")</f>
        <v/>
      </c>
      <c r="J195" s="2">
        <f>IFERROR(VLOOKUP(C195,Merchants!$A$2:$D$41,3,FALSE),"Merchant not found")</f>
        <v/>
      </c>
      <c r="K195" s="2">
        <f>IFERROR(VLOOKUP(C195,Merchants!$A$2:$D$41,4,FALSE),"Merchant not found")</f>
        <v/>
      </c>
      <c r="L195" s="7">
        <f>DATE(YEAR(D195),MONTH(D195),DAY(D195))</f>
        <v/>
      </c>
      <c r="M195" s="5">
        <f>IFERROR(HLOOKUP(F195,Fee_Tiers!$B$1:$E$2,2,FALSE),"Fee tier not found")</f>
        <v/>
      </c>
      <c r="N195" s="8">
        <f>SUMIFS(Daily_Merchant!$C$2:$C$444,Daily_Merchant!$A$2:$A$444,C195,Daily_Merchant!$B$2:$B$444,L195)</f>
        <v/>
      </c>
      <c r="O195" s="2">
        <f>IF(AND(N195&gt;5000,K195&lt;&gt;"East"),"High-Value Merchant Day","")</f>
        <v/>
      </c>
    </row>
    <row r="196">
      <c r="A196" s="2" t="inlineStr">
        <is>
          <t>TXN100194</t>
        </is>
      </c>
      <c r="B196" s="2" t="n">
        <v>283</v>
      </c>
      <c r="C196" s="2" t="n">
        <v>14</v>
      </c>
      <c r="D196" s="12" t="n">
        <v>46026.86180555556</v>
      </c>
      <c r="E196" s="8" t="n">
        <v>99</v>
      </c>
      <c r="F196" s="2" t="inlineStr">
        <is>
          <t>Wallet</t>
        </is>
      </c>
      <c r="G196" s="2" t="inlineStr">
        <is>
          <t>captured</t>
        </is>
      </c>
      <c r="H196" s="2" t="n">
        <v>55</v>
      </c>
      <c r="I196" s="2">
        <f>IFERROR(VLOOKUP(C196,Merchants!$A$2:$D$41,2,FALSE),"Merchant not found")</f>
        <v/>
      </c>
      <c r="J196" s="2">
        <f>IFERROR(VLOOKUP(C196,Merchants!$A$2:$D$41,3,FALSE),"Merchant not found")</f>
        <v/>
      </c>
      <c r="K196" s="2">
        <f>IFERROR(VLOOKUP(C196,Merchants!$A$2:$D$41,4,FALSE),"Merchant not found")</f>
        <v/>
      </c>
      <c r="L196" s="7">
        <f>DATE(YEAR(D196),MONTH(D196),DAY(D196))</f>
        <v/>
      </c>
      <c r="M196" s="5">
        <f>IFERROR(HLOOKUP(F196,Fee_Tiers!$B$1:$E$2,2,FALSE),"Fee tier not found")</f>
        <v/>
      </c>
      <c r="N196" s="8">
        <f>SUMIFS(Daily_Merchant!$C$2:$C$444,Daily_Merchant!$A$2:$A$444,C196,Daily_Merchant!$B$2:$B$444,L196)</f>
        <v/>
      </c>
      <c r="O196" s="2">
        <f>IF(AND(N196&gt;5000,K196&lt;&gt;"East"),"High-Value Merchant Day","")</f>
        <v/>
      </c>
    </row>
    <row r="197">
      <c r="A197" s="2" t="inlineStr">
        <is>
          <t>TXN100195</t>
        </is>
      </c>
      <c r="B197" s="2" t="n">
        <v>174</v>
      </c>
      <c r="C197" s="2" t="n">
        <v>30</v>
      </c>
      <c r="D197" s="12" t="n">
        <v>46037.30972222222</v>
      </c>
      <c r="E197" s="8" t="n">
        <v>49</v>
      </c>
      <c r="F197" s="2" t="inlineStr">
        <is>
          <t>UPI</t>
        </is>
      </c>
      <c r="G197" s="2" t="inlineStr">
        <is>
          <t>captured</t>
        </is>
      </c>
      <c r="H197" s="2" t="n">
        <v>51</v>
      </c>
      <c r="I197" s="2">
        <f>IFERROR(VLOOKUP(C197,Merchants!$A$2:$D$41,2,FALSE),"Merchant not found")</f>
        <v/>
      </c>
      <c r="J197" s="2">
        <f>IFERROR(VLOOKUP(C197,Merchants!$A$2:$D$41,3,FALSE),"Merchant not found")</f>
        <v/>
      </c>
      <c r="K197" s="2">
        <f>IFERROR(VLOOKUP(C197,Merchants!$A$2:$D$41,4,FALSE),"Merchant not found")</f>
        <v/>
      </c>
      <c r="L197" s="7">
        <f>DATE(YEAR(D197),MONTH(D197),DAY(D197))</f>
        <v/>
      </c>
      <c r="M197" s="5">
        <f>IFERROR(HLOOKUP(F197,Fee_Tiers!$B$1:$E$2,2,FALSE),"Fee tier not found")</f>
        <v/>
      </c>
      <c r="N197" s="8">
        <f>SUMIFS(Daily_Merchant!$C$2:$C$444,Daily_Merchant!$A$2:$A$444,C197,Daily_Merchant!$B$2:$B$444,L197)</f>
        <v/>
      </c>
      <c r="O197" s="2">
        <f>IF(AND(N197&gt;5000,K197&lt;&gt;"East"),"High-Value Merchant Day","")</f>
        <v/>
      </c>
    </row>
    <row r="198">
      <c r="A198" s="2" t="inlineStr">
        <is>
          <t>TXN100196</t>
        </is>
      </c>
      <c r="B198" s="2" t="n">
        <v>161</v>
      </c>
      <c r="C198" s="2" t="n">
        <v>28</v>
      </c>
      <c r="D198" s="12" t="n">
        <v>46036.9625</v>
      </c>
      <c r="E198" s="8" t="n">
        <v>49</v>
      </c>
      <c r="F198" s="2" t="inlineStr">
        <is>
          <t>UPI</t>
        </is>
      </c>
      <c r="G198" s="2" t="inlineStr">
        <is>
          <t>captured</t>
        </is>
      </c>
      <c r="H198" s="2" t="n">
        <v>40</v>
      </c>
      <c r="I198" s="2">
        <f>IFERROR(VLOOKUP(C198,Merchants!$A$2:$D$41,2,FALSE),"Merchant not found")</f>
        <v/>
      </c>
      <c r="J198" s="2">
        <f>IFERROR(VLOOKUP(C198,Merchants!$A$2:$D$41,3,FALSE),"Merchant not found")</f>
        <v/>
      </c>
      <c r="K198" s="2">
        <f>IFERROR(VLOOKUP(C198,Merchants!$A$2:$D$41,4,FALSE),"Merchant not found")</f>
        <v/>
      </c>
      <c r="L198" s="7">
        <f>DATE(YEAR(D198),MONTH(D198),DAY(D198))</f>
        <v/>
      </c>
      <c r="M198" s="5">
        <f>IFERROR(HLOOKUP(F198,Fee_Tiers!$B$1:$E$2,2,FALSE),"Fee tier not found")</f>
        <v/>
      </c>
      <c r="N198" s="8">
        <f>SUMIFS(Daily_Merchant!$C$2:$C$444,Daily_Merchant!$A$2:$A$444,C198,Daily_Merchant!$B$2:$B$444,L198)</f>
        <v/>
      </c>
      <c r="O198" s="2">
        <f>IF(AND(N198&gt;5000,K198&lt;&gt;"East"),"High-Value Merchant Day","")</f>
        <v/>
      </c>
    </row>
    <row r="199">
      <c r="A199" s="2" t="inlineStr">
        <is>
          <t>TXN100197</t>
        </is>
      </c>
      <c r="B199" s="2" t="n">
        <v>79</v>
      </c>
      <c r="C199" s="2" t="n">
        <v>31</v>
      </c>
      <c r="D199" s="12" t="n">
        <v>46044.34930555556</v>
      </c>
      <c r="E199" s="8" t="n">
        <v>99</v>
      </c>
      <c r="F199" s="2" t="inlineStr">
        <is>
          <t>UPI</t>
        </is>
      </c>
      <c r="G199" s="2" t="inlineStr">
        <is>
          <t>captured</t>
        </is>
      </c>
      <c r="H199" s="2" t="n">
        <v>8</v>
      </c>
      <c r="I199" s="2">
        <f>IFERROR(VLOOKUP(C199,Merchants!$A$2:$D$41,2,FALSE),"Merchant not found")</f>
        <v/>
      </c>
      <c r="J199" s="2">
        <f>IFERROR(VLOOKUP(C199,Merchants!$A$2:$D$41,3,FALSE),"Merchant not found")</f>
        <v/>
      </c>
      <c r="K199" s="2">
        <f>IFERROR(VLOOKUP(C199,Merchants!$A$2:$D$41,4,FALSE),"Merchant not found")</f>
        <v/>
      </c>
      <c r="L199" s="7">
        <f>DATE(YEAR(D199),MONTH(D199),DAY(D199))</f>
        <v/>
      </c>
      <c r="M199" s="5">
        <f>IFERROR(HLOOKUP(F199,Fee_Tiers!$B$1:$E$2,2,FALSE),"Fee tier not found")</f>
        <v/>
      </c>
      <c r="N199" s="8">
        <f>SUMIFS(Daily_Merchant!$C$2:$C$444,Daily_Merchant!$A$2:$A$444,C199,Daily_Merchant!$B$2:$B$444,L199)</f>
        <v/>
      </c>
      <c r="O199" s="2">
        <f>IF(AND(N199&gt;5000,K199&lt;&gt;"East"),"High-Value Merchant Day","")</f>
        <v/>
      </c>
    </row>
    <row r="200">
      <c r="A200" s="2" t="inlineStr">
        <is>
          <t>TXN100198</t>
        </is>
      </c>
      <c r="B200" s="2" t="n">
        <v>222</v>
      </c>
      <c r="C200" s="2" t="n">
        <v>7</v>
      </c>
      <c r="D200" s="12" t="n">
        <v>46025.08680555555</v>
      </c>
      <c r="E200" s="8" t="n">
        <v>149</v>
      </c>
      <c r="F200" s="2" t="inlineStr">
        <is>
          <t>Wallet</t>
        </is>
      </c>
      <c r="G200" s="2" t="inlineStr">
        <is>
          <t>captured</t>
        </is>
      </c>
      <c r="H200" s="2" t="n">
        <v>95</v>
      </c>
      <c r="I200" s="2">
        <f>IFERROR(VLOOKUP(C200,Merchants!$A$2:$D$41,2,FALSE),"Merchant not found")</f>
        <v/>
      </c>
      <c r="J200" s="2">
        <f>IFERROR(VLOOKUP(C200,Merchants!$A$2:$D$41,3,FALSE),"Merchant not found")</f>
        <v/>
      </c>
      <c r="K200" s="2">
        <f>IFERROR(VLOOKUP(C200,Merchants!$A$2:$D$41,4,FALSE),"Merchant not found")</f>
        <v/>
      </c>
      <c r="L200" s="7">
        <f>DATE(YEAR(D200),MONTH(D200),DAY(D200))</f>
        <v/>
      </c>
      <c r="M200" s="5">
        <f>IFERROR(HLOOKUP(F200,Fee_Tiers!$B$1:$E$2,2,FALSE),"Fee tier not found")</f>
        <v/>
      </c>
      <c r="N200" s="8">
        <f>SUMIFS(Daily_Merchant!$C$2:$C$444,Daily_Merchant!$A$2:$A$444,C200,Daily_Merchant!$B$2:$B$444,L200)</f>
        <v/>
      </c>
      <c r="O200" s="2">
        <f>IF(AND(N200&gt;5000,K200&lt;&gt;"East"),"High-Value Merchant Day","")</f>
        <v/>
      </c>
    </row>
    <row r="201">
      <c r="A201" s="2" t="inlineStr">
        <is>
          <t>TXN100199</t>
        </is>
      </c>
      <c r="B201" s="2" t="n">
        <v>67</v>
      </c>
      <c r="C201" s="2" t="n">
        <v>36</v>
      </c>
      <c r="D201" s="12" t="n">
        <v>46046.49375</v>
      </c>
      <c r="E201" s="8" t="n">
        <v>99</v>
      </c>
      <c r="F201" s="2" t="inlineStr">
        <is>
          <t>UPI</t>
        </is>
      </c>
      <c r="G201" s="2" t="inlineStr">
        <is>
          <t>captured</t>
        </is>
      </c>
      <c r="H201" s="2" t="n">
        <v>7</v>
      </c>
      <c r="I201" s="2">
        <f>IFERROR(VLOOKUP(C201,Merchants!$A$2:$D$41,2,FALSE),"Merchant not found")</f>
        <v/>
      </c>
      <c r="J201" s="2">
        <f>IFERROR(VLOOKUP(C201,Merchants!$A$2:$D$41,3,FALSE),"Merchant not found")</f>
        <v/>
      </c>
      <c r="K201" s="2">
        <f>IFERROR(VLOOKUP(C201,Merchants!$A$2:$D$41,4,FALSE),"Merchant not found")</f>
        <v/>
      </c>
      <c r="L201" s="7">
        <f>DATE(YEAR(D201),MONTH(D201),DAY(D201))</f>
        <v/>
      </c>
      <c r="M201" s="5">
        <f>IFERROR(HLOOKUP(F201,Fee_Tiers!$B$1:$E$2,2,FALSE),"Fee tier not found")</f>
        <v/>
      </c>
      <c r="N201" s="8">
        <f>SUMIFS(Daily_Merchant!$C$2:$C$444,Daily_Merchant!$A$2:$A$444,C201,Daily_Merchant!$B$2:$B$444,L201)</f>
        <v/>
      </c>
      <c r="O201" s="2">
        <f>IF(AND(N201&gt;5000,K201&lt;&gt;"East"),"High-Value Merchant Day","")</f>
        <v/>
      </c>
    </row>
    <row r="202">
      <c r="A202" s="2" t="inlineStr">
        <is>
          <t>TXN100200</t>
        </is>
      </c>
      <c r="B202" s="2" t="n">
        <v>169</v>
      </c>
      <c r="C202" s="2" t="n">
        <v>8</v>
      </c>
      <c r="D202" s="12" t="n">
        <v>46041.73263888889</v>
      </c>
      <c r="E202" s="8" t="n">
        <v>99</v>
      </c>
      <c r="F202" s="2" t="inlineStr">
        <is>
          <t>UPI</t>
        </is>
      </c>
      <c r="G202" s="2" t="inlineStr">
        <is>
          <t>captured</t>
        </is>
      </c>
      <c r="H202" s="2" t="n">
        <v>52</v>
      </c>
      <c r="I202" s="2">
        <f>IFERROR(VLOOKUP(C202,Merchants!$A$2:$D$41,2,FALSE),"Merchant not found")</f>
        <v/>
      </c>
      <c r="J202" s="2">
        <f>IFERROR(VLOOKUP(C202,Merchants!$A$2:$D$41,3,FALSE),"Merchant not found")</f>
        <v/>
      </c>
      <c r="K202" s="2">
        <f>IFERROR(VLOOKUP(C202,Merchants!$A$2:$D$41,4,FALSE),"Merchant not found")</f>
        <v/>
      </c>
      <c r="L202" s="7">
        <f>DATE(YEAR(D202),MONTH(D202),DAY(D202))</f>
        <v/>
      </c>
      <c r="M202" s="5">
        <f>IFERROR(HLOOKUP(F202,Fee_Tiers!$B$1:$E$2,2,FALSE),"Fee tier not found")</f>
        <v/>
      </c>
      <c r="N202" s="8">
        <f>SUMIFS(Daily_Merchant!$C$2:$C$444,Daily_Merchant!$A$2:$A$444,C202,Daily_Merchant!$B$2:$B$444,L202)</f>
        <v/>
      </c>
      <c r="O202" s="2">
        <f>IF(AND(N202&gt;5000,K202&lt;&gt;"East"),"High-Value Merchant Day","")</f>
        <v/>
      </c>
    </row>
    <row r="203">
      <c r="A203" s="2" t="inlineStr">
        <is>
          <t>TXN100201</t>
        </is>
      </c>
      <c r="B203" s="2" t="n">
        <v>217</v>
      </c>
      <c r="C203" s="2" t="n">
        <v>4</v>
      </c>
      <c r="D203" s="12" t="n">
        <v>46034.90833333333</v>
      </c>
      <c r="E203" s="8" t="n">
        <v>49</v>
      </c>
      <c r="F203" s="2" t="inlineStr">
        <is>
          <t>UPI</t>
        </is>
      </c>
      <c r="G203" s="2" t="inlineStr">
        <is>
          <t>captured</t>
        </is>
      </c>
      <c r="H203" s="2" t="n">
        <v>36</v>
      </c>
      <c r="I203" s="2">
        <f>IFERROR(VLOOKUP(C203,Merchants!$A$2:$D$41,2,FALSE),"Merchant not found")</f>
        <v/>
      </c>
      <c r="J203" s="2">
        <f>IFERROR(VLOOKUP(C203,Merchants!$A$2:$D$41,3,FALSE),"Merchant not found")</f>
        <v/>
      </c>
      <c r="K203" s="2">
        <f>IFERROR(VLOOKUP(C203,Merchants!$A$2:$D$41,4,FALSE),"Merchant not found")</f>
        <v/>
      </c>
      <c r="L203" s="7">
        <f>DATE(YEAR(D203),MONTH(D203),DAY(D203))</f>
        <v/>
      </c>
      <c r="M203" s="5">
        <f>IFERROR(HLOOKUP(F203,Fee_Tiers!$B$1:$E$2,2,FALSE),"Fee tier not found")</f>
        <v/>
      </c>
      <c r="N203" s="8">
        <f>SUMIFS(Daily_Merchant!$C$2:$C$444,Daily_Merchant!$A$2:$A$444,C203,Daily_Merchant!$B$2:$B$444,L203)</f>
        <v/>
      </c>
      <c r="O203" s="2">
        <f>IF(AND(N203&gt;5000,K203&lt;&gt;"East"),"High-Value Merchant Day","")</f>
        <v/>
      </c>
    </row>
    <row r="204">
      <c r="A204" s="2" t="inlineStr">
        <is>
          <t>TXN100202</t>
        </is>
      </c>
      <c r="B204" s="2" t="n">
        <v>54</v>
      </c>
      <c r="C204" s="2" t="n">
        <v>37</v>
      </c>
      <c r="D204" s="12" t="n">
        <v>46042.39027777778</v>
      </c>
      <c r="E204" s="8" t="n">
        <v>149</v>
      </c>
      <c r="F204" s="2" t="inlineStr">
        <is>
          <t>UPI</t>
        </is>
      </c>
      <c r="G204" s="2" t="inlineStr">
        <is>
          <t>captured</t>
        </is>
      </c>
      <c r="H204" s="2" t="n">
        <v>64</v>
      </c>
      <c r="I204" s="2">
        <f>IFERROR(VLOOKUP(C204,Merchants!$A$2:$D$41,2,FALSE),"Merchant not found")</f>
        <v/>
      </c>
      <c r="J204" s="2">
        <f>IFERROR(VLOOKUP(C204,Merchants!$A$2:$D$41,3,FALSE),"Merchant not found")</f>
        <v/>
      </c>
      <c r="K204" s="2">
        <f>IFERROR(VLOOKUP(C204,Merchants!$A$2:$D$41,4,FALSE),"Merchant not found")</f>
        <v/>
      </c>
      <c r="L204" s="7">
        <f>DATE(YEAR(D204),MONTH(D204),DAY(D204))</f>
        <v/>
      </c>
      <c r="M204" s="5">
        <f>IFERROR(HLOOKUP(F204,Fee_Tiers!$B$1:$E$2,2,FALSE),"Fee tier not found")</f>
        <v/>
      </c>
      <c r="N204" s="8">
        <f>SUMIFS(Daily_Merchant!$C$2:$C$444,Daily_Merchant!$A$2:$A$444,C204,Daily_Merchant!$B$2:$B$444,L204)</f>
        <v/>
      </c>
      <c r="O204" s="2">
        <f>IF(AND(N204&gt;5000,K204&lt;&gt;"East"),"High-Value Merchant Day","")</f>
        <v/>
      </c>
    </row>
    <row r="205">
      <c r="A205" s="2" t="inlineStr">
        <is>
          <t>TXN100203</t>
        </is>
      </c>
      <c r="B205" s="2" t="n">
        <v>247</v>
      </c>
      <c r="C205" s="2" t="n">
        <v>15</v>
      </c>
      <c r="D205" s="12" t="n">
        <v>46029.19583333333</v>
      </c>
      <c r="E205" s="8" t="n">
        <v>49</v>
      </c>
      <c r="F205" s="2" t="inlineStr">
        <is>
          <t>Card</t>
        </is>
      </c>
      <c r="G205" s="2" t="inlineStr">
        <is>
          <t>captured</t>
        </is>
      </c>
      <c r="H205" s="2" t="n">
        <v>13</v>
      </c>
      <c r="I205" s="2">
        <f>IFERROR(VLOOKUP(C205,Merchants!$A$2:$D$41,2,FALSE),"Merchant not found")</f>
        <v/>
      </c>
      <c r="J205" s="2">
        <f>IFERROR(VLOOKUP(C205,Merchants!$A$2:$D$41,3,FALSE),"Merchant not found")</f>
        <v/>
      </c>
      <c r="K205" s="2">
        <f>IFERROR(VLOOKUP(C205,Merchants!$A$2:$D$41,4,FALSE),"Merchant not found")</f>
        <v/>
      </c>
      <c r="L205" s="7">
        <f>DATE(YEAR(D205),MONTH(D205),DAY(D205))</f>
        <v/>
      </c>
      <c r="M205" s="5">
        <f>IFERROR(HLOOKUP(F205,Fee_Tiers!$B$1:$E$2,2,FALSE),"Fee tier not found")</f>
        <v/>
      </c>
      <c r="N205" s="8">
        <f>SUMIFS(Daily_Merchant!$C$2:$C$444,Daily_Merchant!$A$2:$A$444,C205,Daily_Merchant!$B$2:$B$444,L205)</f>
        <v/>
      </c>
      <c r="O205" s="2">
        <f>IF(AND(N205&gt;5000,K205&lt;&gt;"East"),"High-Value Merchant Day","")</f>
        <v/>
      </c>
    </row>
    <row r="206">
      <c r="A206" s="2" t="inlineStr">
        <is>
          <t>TXN100204</t>
        </is>
      </c>
      <c r="B206" s="2" t="n">
        <v>59</v>
      </c>
      <c r="C206" s="2" t="n">
        <v>18</v>
      </c>
      <c r="D206" s="12" t="n">
        <v>46034.72430555556</v>
      </c>
      <c r="E206" s="8" t="n">
        <v>49</v>
      </c>
      <c r="F206" s="2" t="inlineStr">
        <is>
          <t>Card</t>
        </is>
      </c>
      <c r="G206" s="2" t="inlineStr">
        <is>
          <t>captured</t>
        </is>
      </c>
      <c r="H206" s="2" t="n">
        <v>73</v>
      </c>
      <c r="I206" s="2">
        <f>IFERROR(VLOOKUP(C206,Merchants!$A$2:$D$41,2,FALSE),"Merchant not found")</f>
        <v/>
      </c>
      <c r="J206" s="2">
        <f>IFERROR(VLOOKUP(C206,Merchants!$A$2:$D$41,3,FALSE),"Merchant not found")</f>
        <v/>
      </c>
      <c r="K206" s="2">
        <f>IFERROR(VLOOKUP(C206,Merchants!$A$2:$D$41,4,FALSE),"Merchant not found")</f>
        <v/>
      </c>
      <c r="L206" s="7">
        <f>DATE(YEAR(D206),MONTH(D206),DAY(D206))</f>
        <v/>
      </c>
      <c r="M206" s="5">
        <f>IFERROR(HLOOKUP(F206,Fee_Tiers!$B$1:$E$2,2,FALSE),"Fee tier not found")</f>
        <v/>
      </c>
      <c r="N206" s="8">
        <f>SUMIFS(Daily_Merchant!$C$2:$C$444,Daily_Merchant!$A$2:$A$444,C206,Daily_Merchant!$B$2:$B$444,L206)</f>
        <v/>
      </c>
      <c r="O206" s="2">
        <f>IF(AND(N206&gt;5000,K206&lt;&gt;"East"),"High-Value Merchant Day","")</f>
        <v/>
      </c>
    </row>
    <row r="207">
      <c r="A207" s="2" t="inlineStr">
        <is>
          <t>TXN100205</t>
        </is>
      </c>
      <c r="B207" s="2" t="n">
        <v>288</v>
      </c>
      <c r="C207" s="2" t="n">
        <v>40</v>
      </c>
      <c r="D207" s="12" t="n">
        <v>46030.57916666667</v>
      </c>
      <c r="E207" s="8" t="n">
        <v>49</v>
      </c>
      <c r="F207" s="2" t="inlineStr">
        <is>
          <t>UPI</t>
        </is>
      </c>
      <c r="G207" s="2" t="inlineStr">
        <is>
          <t>failed</t>
        </is>
      </c>
      <c r="H207" s="2" t="n">
        <v>78</v>
      </c>
      <c r="I207" s="2">
        <f>IFERROR(VLOOKUP(C207,Merchants!$A$2:$D$41,2,FALSE),"Merchant not found")</f>
        <v/>
      </c>
      <c r="J207" s="2">
        <f>IFERROR(VLOOKUP(C207,Merchants!$A$2:$D$41,3,FALSE),"Merchant not found")</f>
        <v/>
      </c>
      <c r="K207" s="2">
        <f>IFERROR(VLOOKUP(C207,Merchants!$A$2:$D$41,4,FALSE),"Merchant not found")</f>
        <v/>
      </c>
      <c r="L207" s="7">
        <f>DATE(YEAR(D207),MONTH(D207),DAY(D207))</f>
        <v/>
      </c>
      <c r="M207" s="5">
        <f>IFERROR(HLOOKUP(F207,Fee_Tiers!$B$1:$E$2,2,FALSE),"Fee tier not found")</f>
        <v/>
      </c>
      <c r="N207" s="8">
        <f>SUMIFS(Daily_Merchant!$C$2:$C$444,Daily_Merchant!$A$2:$A$444,C207,Daily_Merchant!$B$2:$B$444,L207)</f>
        <v/>
      </c>
      <c r="O207" s="2">
        <f>IF(AND(N207&gt;5000,K207&lt;&gt;"East"),"High-Value Merchant Day","")</f>
        <v/>
      </c>
    </row>
    <row r="208">
      <c r="A208" s="2" t="inlineStr">
        <is>
          <t>TXN100206</t>
        </is>
      </c>
      <c r="B208" s="2" t="n">
        <v>14</v>
      </c>
      <c r="C208" s="2" t="n">
        <v>39</v>
      </c>
      <c r="D208" s="12" t="n">
        <v>46044.85763888889</v>
      </c>
      <c r="E208" s="8" t="n">
        <v>799</v>
      </c>
      <c r="F208" s="2" t="inlineStr">
        <is>
          <t>UPI</t>
        </is>
      </c>
      <c r="G208" s="2" t="inlineStr">
        <is>
          <t>captured</t>
        </is>
      </c>
      <c r="H208" s="2" t="n">
        <v>84</v>
      </c>
      <c r="I208" s="2">
        <f>IFERROR(VLOOKUP(C208,Merchants!$A$2:$D$41,2,FALSE),"Merchant not found")</f>
        <v/>
      </c>
      <c r="J208" s="2">
        <f>IFERROR(VLOOKUP(C208,Merchants!$A$2:$D$41,3,FALSE),"Merchant not found")</f>
        <v/>
      </c>
      <c r="K208" s="2">
        <f>IFERROR(VLOOKUP(C208,Merchants!$A$2:$D$41,4,FALSE),"Merchant not found")</f>
        <v/>
      </c>
      <c r="L208" s="7">
        <f>DATE(YEAR(D208),MONTH(D208),DAY(D208))</f>
        <v/>
      </c>
      <c r="M208" s="5">
        <f>IFERROR(HLOOKUP(F208,Fee_Tiers!$B$1:$E$2,2,FALSE),"Fee tier not found")</f>
        <v/>
      </c>
      <c r="N208" s="8">
        <f>SUMIFS(Daily_Merchant!$C$2:$C$444,Daily_Merchant!$A$2:$A$444,C208,Daily_Merchant!$B$2:$B$444,L208)</f>
        <v/>
      </c>
      <c r="O208" s="2">
        <f>IF(AND(N208&gt;5000,K208&lt;&gt;"East"),"High-Value Merchant Day","")</f>
        <v/>
      </c>
    </row>
    <row r="209">
      <c r="A209" s="2" t="inlineStr">
        <is>
          <t>TXN100207</t>
        </is>
      </c>
      <c r="B209" s="2" t="n">
        <v>15</v>
      </c>
      <c r="C209" s="2" t="n">
        <v>12</v>
      </c>
      <c r="D209" s="12" t="n">
        <v>46049.92847222222</v>
      </c>
      <c r="E209" s="8" t="n">
        <v>149</v>
      </c>
      <c r="F209" s="2" t="inlineStr">
        <is>
          <t>UPI</t>
        </is>
      </c>
      <c r="G209" s="2" t="inlineStr">
        <is>
          <t>captured</t>
        </is>
      </c>
      <c r="H209" s="2" t="n">
        <v>34</v>
      </c>
      <c r="I209" s="2">
        <f>IFERROR(VLOOKUP(C209,Merchants!$A$2:$D$41,2,FALSE),"Merchant not found")</f>
        <v/>
      </c>
      <c r="J209" s="2">
        <f>IFERROR(VLOOKUP(C209,Merchants!$A$2:$D$41,3,FALSE),"Merchant not found")</f>
        <v/>
      </c>
      <c r="K209" s="2">
        <f>IFERROR(VLOOKUP(C209,Merchants!$A$2:$D$41,4,FALSE),"Merchant not found")</f>
        <v/>
      </c>
      <c r="L209" s="7">
        <f>DATE(YEAR(D209),MONTH(D209),DAY(D209))</f>
        <v/>
      </c>
      <c r="M209" s="5">
        <f>IFERROR(HLOOKUP(F209,Fee_Tiers!$B$1:$E$2,2,FALSE),"Fee tier not found")</f>
        <v/>
      </c>
      <c r="N209" s="8">
        <f>SUMIFS(Daily_Merchant!$C$2:$C$444,Daily_Merchant!$A$2:$A$444,C209,Daily_Merchant!$B$2:$B$444,L209)</f>
        <v/>
      </c>
      <c r="O209" s="2">
        <f>IF(AND(N209&gt;5000,K209&lt;&gt;"East"),"High-Value Merchant Day","")</f>
        <v/>
      </c>
    </row>
    <row r="210">
      <c r="A210" s="2" t="inlineStr">
        <is>
          <t>TXN100208</t>
        </is>
      </c>
      <c r="B210" s="2" t="n">
        <v>174</v>
      </c>
      <c r="C210" s="2" t="n">
        <v>23</v>
      </c>
      <c r="D210" s="12" t="n">
        <v>46045.41527777778</v>
      </c>
      <c r="E210" s="8" t="n">
        <v>149</v>
      </c>
      <c r="F210" s="2" t="inlineStr">
        <is>
          <t>UPI</t>
        </is>
      </c>
      <c r="G210" s="2" t="inlineStr">
        <is>
          <t>captured</t>
        </is>
      </c>
      <c r="H210" s="2" t="n">
        <v>0</v>
      </c>
      <c r="I210" s="2">
        <f>IFERROR(VLOOKUP(C210,Merchants!$A$2:$D$41,2,FALSE),"Merchant not found")</f>
        <v/>
      </c>
      <c r="J210" s="2">
        <f>IFERROR(VLOOKUP(C210,Merchants!$A$2:$D$41,3,FALSE),"Merchant not found")</f>
        <v/>
      </c>
      <c r="K210" s="2">
        <f>IFERROR(VLOOKUP(C210,Merchants!$A$2:$D$41,4,FALSE),"Merchant not found")</f>
        <v/>
      </c>
      <c r="L210" s="7">
        <f>DATE(YEAR(D210),MONTH(D210),DAY(D210))</f>
        <v/>
      </c>
      <c r="M210" s="5">
        <f>IFERROR(HLOOKUP(F210,Fee_Tiers!$B$1:$E$2,2,FALSE),"Fee tier not found")</f>
        <v/>
      </c>
      <c r="N210" s="8">
        <f>SUMIFS(Daily_Merchant!$C$2:$C$444,Daily_Merchant!$A$2:$A$444,C210,Daily_Merchant!$B$2:$B$444,L210)</f>
        <v/>
      </c>
      <c r="O210" s="2">
        <f>IF(AND(N210&gt;5000,K210&lt;&gt;"East"),"High-Value Merchant Day","")</f>
        <v/>
      </c>
    </row>
    <row r="211">
      <c r="A211" s="2" t="inlineStr">
        <is>
          <t>TXN100209</t>
        </is>
      </c>
      <c r="B211" s="2" t="n">
        <v>337</v>
      </c>
      <c r="C211" s="2" t="n">
        <v>26</v>
      </c>
      <c r="D211" s="12" t="n">
        <v>46028.19166666667</v>
      </c>
      <c r="E211" s="8" t="n">
        <v>49</v>
      </c>
      <c r="F211" s="2" t="inlineStr">
        <is>
          <t>UPI</t>
        </is>
      </c>
      <c r="G211" s="2" t="inlineStr">
        <is>
          <t>captured</t>
        </is>
      </c>
      <c r="H211" s="2" t="n">
        <v>8</v>
      </c>
      <c r="I211" s="2">
        <f>IFERROR(VLOOKUP(C211,Merchants!$A$2:$D$41,2,FALSE),"Merchant not found")</f>
        <v/>
      </c>
      <c r="J211" s="2">
        <f>IFERROR(VLOOKUP(C211,Merchants!$A$2:$D$41,3,FALSE),"Merchant not found")</f>
        <v/>
      </c>
      <c r="K211" s="2">
        <f>IFERROR(VLOOKUP(C211,Merchants!$A$2:$D$41,4,FALSE),"Merchant not found")</f>
        <v/>
      </c>
      <c r="L211" s="7">
        <f>DATE(YEAR(D211),MONTH(D211),DAY(D211))</f>
        <v/>
      </c>
      <c r="M211" s="5">
        <f>IFERROR(HLOOKUP(F211,Fee_Tiers!$B$1:$E$2,2,FALSE),"Fee tier not found")</f>
        <v/>
      </c>
      <c r="N211" s="8">
        <f>SUMIFS(Daily_Merchant!$C$2:$C$444,Daily_Merchant!$A$2:$A$444,C211,Daily_Merchant!$B$2:$B$444,L211)</f>
        <v/>
      </c>
      <c r="O211" s="2">
        <f>IF(AND(N211&gt;5000,K211&lt;&gt;"East"),"High-Value Merchant Day","")</f>
        <v/>
      </c>
    </row>
    <row r="212">
      <c r="A212" s="2" t="inlineStr">
        <is>
          <t>TXN100210</t>
        </is>
      </c>
      <c r="B212" s="2" t="n">
        <v>16</v>
      </c>
      <c r="C212" s="2" t="n">
        <v>6</v>
      </c>
      <c r="D212" s="12" t="n">
        <v>46027.98611111111</v>
      </c>
      <c r="E212" s="8" t="n">
        <v>1499</v>
      </c>
      <c r="F212" s="2" t="inlineStr">
        <is>
          <t>UPI</t>
        </is>
      </c>
      <c r="G212" s="2" t="inlineStr">
        <is>
          <t>captured</t>
        </is>
      </c>
      <c r="H212" s="2" t="n">
        <v>95</v>
      </c>
      <c r="I212" s="2">
        <f>IFERROR(VLOOKUP(C212,Merchants!$A$2:$D$41,2,FALSE),"Merchant not found")</f>
        <v/>
      </c>
      <c r="J212" s="2">
        <f>IFERROR(VLOOKUP(C212,Merchants!$A$2:$D$41,3,FALSE),"Merchant not found")</f>
        <v/>
      </c>
      <c r="K212" s="2">
        <f>IFERROR(VLOOKUP(C212,Merchants!$A$2:$D$41,4,FALSE),"Merchant not found")</f>
        <v/>
      </c>
      <c r="L212" s="7">
        <f>DATE(YEAR(D212),MONTH(D212),DAY(D212))</f>
        <v/>
      </c>
      <c r="M212" s="5">
        <f>IFERROR(HLOOKUP(F212,Fee_Tiers!$B$1:$E$2,2,FALSE),"Fee tier not found")</f>
        <v/>
      </c>
      <c r="N212" s="8">
        <f>SUMIFS(Daily_Merchant!$C$2:$C$444,Daily_Merchant!$A$2:$A$444,C212,Daily_Merchant!$B$2:$B$444,L212)</f>
        <v/>
      </c>
      <c r="O212" s="2">
        <f>IF(AND(N212&gt;5000,K212&lt;&gt;"East"),"High-Value Merchant Day","")</f>
        <v/>
      </c>
    </row>
    <row r="213">
      <c r="A213" s="2" t="inlineStr">
        <is>
          <t>TXN100211</t>
        </is>
      </c>
      <c r="B213" s="2" t="n">
        <v>215</v>
      </c>
      <c r="C213" s="2" t="n">
        <v>30</v>
      </c>
      <c r="D213" s="12" t="n">
        <v>46039.26666666667</v>
      </c>
      <c r="E213" s="8" t="n">
        <v>49</v>
      </c>
      <c r="F213" s="2" t="inlineStr">
        <is>
          <t>UPI</t>
        </is>
      </c>
      <c r="G213" s="2" t="inlineStr">
        <is>
          <t>captured</t>
        </is>
      </c>
      <c r="H213" s="2" t="n">
        <v>43</v>
      </c>
      <c r="I213" s="2">
        <f>IFERROR(VLOOKUP(C213,Merchants!$A$2:$D$41,2,FALSE),"Merchant not found")</f>
        <v/>
      </c>
      <c r="J213" s="2">
        <f>IFERROR(VLOOKUP(C213,Merchants!$A$2:$D$41,3,FALSE),"Merchant not found")</f>
        <v/>
      </c>
      <c r="K213" s="2">
        <f>IFERROR(VLOOKUP(C213,Merchants!$A$2:$D$41,4,FALSE),"Merchant not found")</f>
        <v/>
      </c>
      <c r="L213" s="7">
        <f>DATE(YEAR(D213),MONTH(D213),DAY(D213))</f>
        <v/>
      </c>
      <c r="M213" s="5">
        <f>IFERROR(HLOOKUP(F213,Fee_Tiers!$B$1:$E$2,2,FALSE),"Fee tier not found")</f>
        <v/>
      </c>
      <c r="N213" s="8">
        <f>SUMIFS(Daily_Merchant!$C$2:$C$444,Daily_Merchant!$A$2:$A$444,C213,Daily_Merchant!$B$2:$B$444,L213)</f>
        <v/>
      </c>
      <c r="O213" s="2">
        <f>IF(AND(N213&gt;5000,K213&lt;&gt;"East"),"High-Value Merchant Day","")</f>
        <v/>
      </c>
    </row>
    <row r="214">
      <c r="A214" s="2" t="inlineStr">
        <is>
          <t>TXN100212</t>
        </is>
      </c>
      <c r="B214" s="2" t="n">
        <v>167</v>
      </c>
      <c r="C214" s="2" t="n">
        <v>37</v>
      </c>
      <c r="D214" s="12" t="n">
        <v>46028.47152777778</v>
      </c>
      <c r="E214" s="8" t="n">
        <v>99</v>
      </c>
      <c r="F214" s="2" t="inlineStr">
        <is>
          <t>UPI</t>
        </is>
      </c>
      <c r="G214" s="2" t="inlineStr">
        <is>
          <t>captured</t>
        </is>
      </c>
      <c r="H214" s="2" t="n">
        <v>76</v>
      </c>
      <c r="I214" s="2">
        <f>IFERROR(VLOOKUP(C214,Merchants!$A$2:$D$41,2,FALSE),"Merchant not found")</f>
        <v/>
      </c>
      <c r="J214" s="2">
        <f>IFERROR(VLOOKUP(C214,Merchants!$A$2:$D$41,3,FALSE),"Merchant not found")</f>
        <v/>
      </c>
      <c r="K214" s="2">
        <f>IFERROR(VLOOKUP(C214,Merchants!$A$2:$D$41,4,FALSE),"Merchant not found")</f>
        <v/>
      </c>
      <c r="L214" s="7">
        <f>DATE(YEAR(D214),MONTH(D214),DAY(D214))</f>
        <v/>
      </c>
      <c r="M214" s="5">
        <f>IFERROR(HLOOKUP(F214,Fee_Tiers!$B$1:$E$2,2,FALSE),"Fee tier not found")</f>
        <v/>
      </c>
      <c r="N214" s="8">
        <f>SUMIFS(Daily_Merchant!$C$2:$C$444,Daily_Merchant!$A$2:$A$444,C214,Daily_Merchant!$B$2:$B$444,L214)</f>
        <v/>
      </c>
      <c r="O214" s="2">
        <f>IF(AND(N214&gt;5000,K214&lt;&gt;"East"),"High-Value Merchant Day","")</f>
        <v/>
      </c>
    </row>
    <row r="215">
      <c r="A215" s="2" t="inlineStr">
        <is>
          <t>TXN100213</t>
        </is>
      </c>
      <c r="B215" s="2" t="n">
        <v>81</v>
      </c>
      <c r="C215" s="2" t="n">
        <v>40</v>
      </c>
      <c r="D215" s="12" t="n">
        <v>46025.04791666667</v>
      </c>
      <c r="E215" s="8" t="n">
        <v>49</v>
      </c>
      <c r="F215" s="2" t="inlineStr">
        <is>
          <t>UPI</t>
        </is>
      </c>
      <c r="G215" s="2" t="inlineStr">
        <is>
          <t>captured</t>
        </is>
      </c>
      <c r="H215" s="2" t="n">
        <v>6</v>
      </c>
      <c r="I215" s="2">
        <f>IFERROR(VLOOKUP(C215,Merchants!$A$2:$D$41,2,FALSE),"Merchant not found")</f>
        <v/>
      </c>
      <c r="J215" s="2">
        <f>IFERROR(VLOOKUP(C215,Merchants!$A$2:$D$41,3,FALSE),"Merchant not found")</f>
        <v/>
      </c>
      <c r="K215" s="2">
        <f>IFERROR(VLOOKUP(C215,Merchants!$A$2:$D$41,4,FALSE),"Merchant not found")</f>
        <v/>
      </c>
      <c r="L215" s="7">
        <f>DATE(YEAR(D215),MONTH(D215),DAY(D215))</f>
        <v/>
      </c>
      <c r="M215" s="5">
        <f>IFERROR(HLOOKUP(F215,Fee_Tiers!$B$1:$E$2,2,FALSE),"Fee tier not found")</f>
        <v/>
      </c>
      <c r="N215" s="8">
        <f>SUMIFS(Daily_Merchant!$C$2:$C$444,Daily_Merchant!$A$2:$A$444,C215,Daily_Merchant!$B$2:$B$444,L215)</f>
        <v/>
      </c>
      <c r="O215" s="2">
        <f>IF(AND(N215&gt;5000,K215&lt;&gt;"East"),"High-Value Merchant Day","")</f>
        <v/>
      </c>
    </row>
    <row r="216">
      <c r="A216" s="2" t="inlineStr">
        <is>
          <t>TXN100214</t>
        </is>
      </c>
      <c r="B216" s="2" t="n">
        <v>227</v>
      </c>
      <c r="C216" s="2" t="n">
        <v>28</v>
      </c>
      <c r="D216" s="12" t="n">
        <v>46044.09513888889</v>
      </c>
      <c r="E216" s="8" t="n">
        <v>99</v>
      </c>
      <c r="F216" s="2" t="inlineStr">
        <is>
          <t>UPI</t>
        </is>
      </c>
      <c r="G216" s="2" t="inlineStr">
        <is>
          <t>captured</t>
        </is>
      </c>
      <c r="H216" s="2" t="n">
        <v>62</v>
      </c>
      <c r="I216" s="2">
        <f>IFERROR(VLOOKUP(C216,Merchants!$A$2:$D$41,2,FALSE),"Merchant not found")</f>
        <v/>
      </c>
      <c r="J216" s="2">
        <f>IFERROR(VLOOKUP(C216,Merchants!$A$2:$D$41,3,FALSE),"Merchant not found")</f>
        <v/>
      </c>
      <c r="K216" s="2">
        <f>IFERROR(VLOOKUP(C216,Merchants!$A$2:$D$41,4,FALSE),"Merchant not found")</f>
        <v/>
      </c>
      <c r="L216" s="7">
        <f>DATE(YEAR(D216),MONTH(D216),DAY(D216))</f>
        <v/>
      </c>
      <c r="M216" s="5">
        <f>IFERROR(HLOOKUP(F216,Fee_Tiers!$B$1:$E$2,2,FALSE),"Fee tier not found")</f>
        <v/>
      </c>
      <c r="N216" s="8">
        <f>SUMIFS(Daily_Merchant!$C$2:$C$444,Daily_Merchant!$A$2:$A$444,C216,Daily_Merchant!$B$2:$B$444,L216)</f>
        <v/>
      </c>
      <c r="O216" s="2">
        <f>IF(AND(N216&gt;5000,K216&lt;&gt;"East"),"High-Value Merchant Day","")</f>
        <v/>
      </c>
    </row>
    <row r="217">
      <c r="A217" s="2" t="inlineStr">
        <is>
          <t>TXN100215</t>
        </is>
      </c>
      <c r="B217" s="2" t="n">
        <v>140</v>
      </c>
      <c r="C217" s="2" t="n">
        <v>14</v>
      </c>
      <c r="D217" s="12" t="n">
        <v>46042.60138888889</v>
      </c>
      <c r="E217" s="8" t="n">
        <v>299</v>
      </c>
      <c r="F217" s="2" t="inlineStr">
        <is>
          <t>Wallet</t>
        </is>
      </c>
      <c r="G217" s="2" t="inlineStr">
        <is>
          <t>captured</t>
        </is>
      </c>
      <c r="H217" s="2" t="n">
        <v>96</v>
      </c>
      <c r="I217" s="2">
        <f>IFERROR(VLOOKUP(C217,Merchants!$A$2:$D$41,2,FALSE),"Merchant not found")</f>
        <v/>
      </c>
      <c r="J217" s="2">
        <f>IFERROR(VLOOKUP(C217,Merchants!$A$2:$D$41,3,FALSE),"Merchant not found")</f>
        <v/>
      </c>
      <c r="K217" s="2">
        <f>IFERROR(VLOOKUP(C217,Merchants!$A$2:$D$41,4,FALSE),"Merchant not found")</f>
        <v/>
      </c>
      <c r="L217" s="7">
        <f>DATE(YEAR(D217),MONTH(D217),DAY(D217))</f>
        <v/>
      </c>
      <c r="M217" s="5">
        <f>IFERROR(HLOOKUP(F217,Fee_Tiers!$B$1:$E$2,2,FALSE),"Fee tier not found")</f>
        <v/>
      </c>
      <c r="N217" s="8">
        <f>SUMIFS(Daily_Merchant!$C$2:$C$444,Daily_Merchant!$A$2:$A$444,C217,Daily_Merchant!$B$2:$B$444,L217)</f>
        <v/>
      </c>
      <c r="O217" s="2">
        <f>IF(AND(N217&gt;5000,K217&lt;&gt;"East"),"High-Value Merchant Day","")</f>
        <v/>
      </c>
    </row>
    <row r="218">
      <c r="A218" s="2" t="inlineStr">
        <is>
          <t>TXN100216</t>
        </is>
      </c>
      <c r="B218" s="2" t="n">
        <v>221</v>
      </c>
      <c r="C218" s="2" t="n">
        <v>8</v>
      </c>
      <c r="D218" s="12" t="n">
        <v>46039.14027777778</v>
      </c>
      <c r="E218" s="8" t="n">
        <v>299</v>
      </c>
      <c r="F218" s="2" t="inlineStr">
        <is>
          <t>UPI</t>
        </is>
      </c>
      <c r="G218" s="2" t="inlineStr">
        <is>
          <t>captured</t>
        </is>
      </c>
      <c r="H218" s="2" t="n">
        <v>36</v>
      </c>
      <c r="I218" s="2">
        <f>IFERROR(VLOOKUP(C218,Merchants!$A$2:$D$41,2,FALSE),"Merchant not found")</f>
        <v/>
      </c>
      <c r="J218" s="2">
        <f>IFERROR(VLOOKUP(C218,Merchants!$A$2:$D$41,3,FALSE),"Merchant not found")</f>
        <v/>
      </c>
      <c r="K218" s="2">
        <f>IFERROR(VLOOKUP(C218,Merchants!$A$2:$D$41,4,FALSE),"Merchant not found")</f>
        <v/>
      </c>
      <c r="L218" s="7">
        <f>DATE(YEAR(D218),MONTH(D218),DAY(D218))</f>
        <v/>
      </c>
      <c r="M218" s="5">
        <f>IFERROR(HLOOKUP(F218,Fee_Tiers!$B$1:$E$2,2,FALSE),"Fee tier not found")</f>
        <v/>
      </c>
      <c r="N218" s="8">
        <f>SUMIFS(Daily_Merchant!$C$2:$C$444,Daily_Merchant!$A$2:$A$444,C218,Daily_Merchant!$B$2:$B$444,L218)</f>
        <v/>
      </c>
      <c r="O218" s="2">
        <f>IF(AND(N218&gt;5000,K218&lt;&gt;"East"),"High-Value Merchant Day","")</f>
        <v/>
      </c>
    </row>
    <row r="219">
      <c r="A219" s="2" t="inlineStr">
        <is>
          <t>TXN100217</t>
        </is>
      </c>
      <c r="B219" s="2" t="n">
        <v>250</v>
      </c>
      <c r="C219" s="2" t="n">
        <v>34</v>
      </c>
      <c r="D219" s="12" t="n">
        <v>46044.90069444444</v>
      </c>
      <c r="E219" s="8" t="n">
        <v>299</v>
      </c>
      <c r="F219" s="2" t="inlineStr">
        <is>
          <t>Wallet</t>
        </is>
      </c>
      <c r="G219" s="2" t="inlineStr">
        <is>
          <t>captured</t>
        </is>
      </c>
      <c r="H219" s="2" t="n">
        <v>85</v>
      </c>
      <c r="I219" s="2">
        <f>IFERROR(VLOOKUP(C219,Merchants!$A$2:$D$41,2,FALSE),"Merchant not found")</f>
        <v/>
      </c>
      <c r="J219" s="2">
        <f>IFERROR(VLOOKUP(C219,Merchants!$A$2:$D$41,3,FALSE),"Merchant not found")</f>
        <v/>
      </c>
      <c r="K219" s="2">
        <f>IFERROR(VLOOKUP(C219,Merchants!$A$2:$D$41,4,FALSE),"Merchant not found")</f>
        <v/>
      </c>
      <c r="L219" s="7">
        <f>DATE(YEAR(D219),MONTH(D219),DAY(D219))</f>
        <v/>
      </c>
      <c r="M219" s="5">
        <f>IFERROR(HLOOKUP(F219,Fee_Tiers!$B$1:$E$2,2,FALSE),"Fee tier not found")</f>
        <v/>
      </c>
      <c r="N219" s="8">
        <f>SUMIFS(Daily_Merchant!$C$2:$C$444,Daily_Merchant!$A$2:$A$444,C219,Daily_Merchant!$B$2:$B$444,L219)</f>
        <v/>
      </c>
      <c r="O219" s="2">
        <f>IF(AND(N219&gt;5000,K219&lt;&gt;"East"),"High-Value Merchant Day","")</f>
        <v/>
      </c>
    </row>
    <row r="220">
      <c r="A220" s="2" t="inlineStr">
        <is>
          <t>TXN100218</t>
        </is>
      </c>
      <c r="B220" s="2" t="n">
        <v>203</v>
      </c>
      <c r="C220" s="2" t="n">
        <v>39</v>
      </c>
      <c r="D220" s="12" t="n">
        <v>46032.05138888889</v>
      </c>
      <c r="E220" s="8" t="n">
        <v>49</v>
      </c>
      <c r="F220" s="2" t="inlineStr">
        <is>
          <t>UPI</t>
        </is>
      </c>
      <c r="G220" s="2" t="inlineStr">
        <is>
          <t>captured</t>
        </is>
      </c>
      <c r="H220" s="2" t="n">
        <v>7</v>
      </c>
      <c r="I220" s="2">
        <f>IFERROR(VLOOKUP(C220,Merchants!$A$2:$D$41,2,FALSE),"Merchant not found")</f>
        <v/>
      </c>
      <c r="J220" s="2">
        <f>IFERROR(VLOOKUP(C220,Merchants!$A$2:$D$41,3,FALSE),"Merchant not found")</f>
        <v/>
      </c>
      <c r="K220" s="2">
        <f>IFERROR(VLOOKUP(C220,Merchants!$A$2:$D$41,4,FALSE),"Merchant not found")</f>
        <v/>
      </c>
      <c r="L220" s="7">
        <f>DATE(YEAR(D220),MONTH(D220),DAY(D220))</f>
        <v/>
      </c>
      <c r="M220" s="5">
        <f>IFERROR(HLOOKUP(F220,Fee_Tiers!$B$1:$E$2,2,FALSE),"Fee tier not found")</f>
        <v/>
      </c>
      <c r="N220" s="8">
        <f>SUMIFS(Daily_Merchant!$C$2:$C$444,Daily_Merchant!$A$2:$A$444,C220,Daily_Merchant!$B$2:$B$444,L220)</f>
        <v/>
      </c>
      <c r="O220" s="2">
        <f>IF(AND(N220&gt;5000,K220&lt;&gt;"East"),"High-Value Merchant Day","")</f>
        <v/>
      </c>
    </row>
    <row r="221">
      <c r="A221" s="2" t="inlineStr">
        <is>
          <t>TXN100219</t>
        </is>
      </c>
      <c r="B221" s="2" t="n">
        <v>109</v>
      </c>
      <c r="C221" s="2" t="n">
        <v>9</v>
      </c>
      <c r="D221" s="12" t="n">
        <v>46023.26319444444</v>
      </c>
      <c r="E221" s="8" t="n">
        <v>499</v>
      </c>
      <c r="F221" s="2" t="inlineStr">
        <is>
          <t>Wallet</t>
        </is>
      </c>
      <c r="G221" s="2" t="inlineStr">
        <is>
          <t>captured</t>
        </is>
      </c>
      <c r="H221" s="2" t="n">
        <v>97</v>
      </c>
      <c r="I221" s="2">
        <f>IFERROR(VLOOKUP(C221,Merchants!$A$2:$D$41,2,FALSE),"Merchant not found")</f>
        <v/>
      </c>
      <c r="J221" s="2">
        <f>IFERROR(VLOOKUP(C221,Merchants!$A$2:$D$41,3,FALSE),"Merchant not found")</f>
        <v/>
      </c>
      <c r="K221" s="2">
        <f>IFERROR(VLOOKUP(C221,Merchants!$A$2:$D$41,4,FALSE),"Merchant not found")</f>
        <v/>
      </c>
      <c r="L221" s="7">
        <f>DATE(YEAR(D221),MONTH(D221),DAY(D221))</f>
        <v/>
      </c>
      <c r="M221" s="5">
        <f>IFERROR(HLOOKUP(F221,Fee_Tiers!$B$1:$E$2,2,FALSE),"Fee tier not found")</f>
        <v/>
      </c>
      <c r="N221" s="8">
        <f>SUMIFS(Daily_Merchant!$C$2:$C$444,Daily_Merchant!$A$2:$A$444,C221,Daily_Merchant!$B$2:$B$444,L221)</f>
        <v/>
      </c>
      <c r="O221" s="2">
        <f>IF(AND(N221&gt;5000,K221&lt;&gt;"East"),"High-Value Merchant Day","")</f>
        <v/>
      </c>
    </row>
    <row r="222">
      <c r="A222" s="2" t="inlineStr">
        <is>
          <t>TXN100220</t>
        </is>
      </c>
      <c r="B222" s="2" t="n">
        <v>62</v>
      </c>
      <c r="C222" s="2" t="n">
        <v>1</v>
      </c>
      <c r="D222" s="12" t="n">
        <v>46031.38888888889</v>
      </c>
      <c r="E222" s="8" t="n">
        <v>4999</v>
      </c>
      <c r="F222" s="2" t="inlineStr">
        <is>
          <t>Wallet</t>
        </is>
      </c>
      <c r="G222" s="2" t="inlineStr">
        <is>
          <t>captured</t>
        </is>
      </c>
      <c r="H222" s="2" t="n">
        <v>63</v>
      </c>
      <c r="I222" s="2">
        <f>IFERROR(VLOOKUP(C222,Merchants!$A$2:$D$41,2,FALSE),"Merchant not found")</f>
        <v/>
      </c>
      <c r="J222" s="2">
        <f>IFERROR(VLOOKUP(C222,Merchants!$A$2:$D$41,3,FALSE),"Merchant not found")</f>
        <v/>
      </c>
      <c r="K222" s="2">
        <f>IFERROR(VLOOKUP(C222,Merchants!$A$2:$D$41,4,FALSE),"Merchant not found")</f>
        <v/>
      </c>
      <c r="L222" s="7">
        <f>DATE(YEAR(D222),MONTH(D222),DAY(D222))</f>
        <v/>
      </c>
      <c r="M222" s="5">
        <f>IFERROR(HLOOKUP(F222,Fee_Tiers!$B$1:$E$2,2,FALSE),"Fee tier not found")</f>
        <v/>
      </c>
      <c r="N222" s="8">
        <f>SUMIFS(Daily_Merchant!$C$2:$C$444,Daily_Merchant!$A$2:$A$444,C222,Daily_Merchant!$B$2:$B$444,L222)</f>
        <v/>
      </c>
      <c r="O222" s="2">
        <f>IF(AND(N222&gt;5000,K222&lt;&gt;"East"),"High-Value Merchant Day","")</f>
        <v/>
      </c>
    </row>
    <row r="223">
      <c r="A223" s="2" t="inlineStr">
        <is>
          <t>TXN100221</t>
        </is>
      </c>
      <c r="B223" s="2" t="n">
        <v>67</v>
      </c>
      <c r="C223" s="2" t="n">
        <v>25</v>
      </c>
      <c r="D223" s="12" t="n">
        <v>46046.54930555556</v>
      </c>
      <c r="E223" s="8" t="n">
        <v>49</v>
      </c>
      <c r="F223" s="2" t="inlineStr">
        <is>
          <t>UPI</t>
        </is>
      </c>
      <c r="G223" s="2" t="inlineStr">
        <is>
          <t>captured</t>
        </is>
      </c>
      <c r="H223" s="2" t="n">
        <v>68</v>
      </c>
      <c r="I223" s="2">
        <f>IFERROR(VLOOKUP(C223,Merchants!$A$2:$D$41,2,FALSE),"Merchant not found")</f>
        <v/>
      </c>
      <c r="J223" s="2">
        <f>IFERROR(VLOOKUP(C223,Merchants!$A$2:$D$41,3,FALSE),"Merchant not found")</f>
        <v/>
      </c>
      <c r="K223" s="2">
        <f>IFERROR(VLOOKUP(C223,Merchants!$A$2:$D$41,4,FALSE),"Merchant not found")</f>
        <v/>
      </c>
      <c r="L223" s="7">
        <f>DATE(YEAR(D223),MONTH(D223),DAY(D223))</f>
        <v/>
      </c>
      <c r="M223" s="5">
        <f>IFERROR(HLOOKUP(F223,Fee_Tiers!$B$1:$E$2,2,FALSE),"Fee tier not found")</f>
        <v/>
      </c>
      <c r="N223" s="8">
        <f>SUMIFS(Daily_Merchant!$C$2:$C$444,Daily_Merchant!$A$2:$A$444,C223,Daily_Merchant!$B$2:$B$444,L223)</f>
        <v/>
      </c>
      <c r="O223" s="2">
        <f>IF(AND(N223&gt;5000,K223&lt;&gt;"East"),"High-Value Merchant Day","")</f>
        <v/>
      </c>
    </row>
    <row r="224">
      <c r="A224" s="2" t="inlineStr">
        <is>
          <t>TXN100222</t>
        </is>
      </c>
      <c r="B224" s="2" t="n">
        <v>287</v>
      </c>
      <c r="C224" s="2" t="n">
        <v>23</v>
      </c>
      <c r="D224" s="12" t="n">
        <v>46045.31388888889</v>
      </c>
      <c r="E224" s="8" t="n">
        <v>49</v>
      </c>
      <c r="F224" s="2" t="inlineStr">
        <is>
          <t>UPI</t>
        </is>
      </c>
      <c r="G224" s="2" t="inlineStr">
        <is>
          <t>captured</t>
        </is>
      </c>
      <c r="H224" s="2" t="n">
        <v>9</v>
      </c>
      <c r="I224" s="2">
        <f>IFERROR(VLOOKUP(C224,Merchants!$A$2:$D$41,2,FALSE),"Merchant not found")</f>
        <v/>
      </c>
      <c r="J224" s="2">
        <f>IFERROR(VLOOKUP(C224,Merchants!$A$2:$D$41,3,FALSE),"Merchant not found")</f>
        <v/>
      </c>
      <c r="K224" s="2">
        <f>IFERROR(VLOOKUP(C224,Merchants!$A$2:$D$41,4,FALSE),"Merchant not found")</f>
        <v/>
      </c>
      <c r="L224" s="7">
        <f>DATE(YEAR(D224),MONTH(D224),DAY(D224))</f>
        <v/>
      </c>
      <c r="M224" s="5">
        <f>IFERROR(HLOOKUP(F224,Fee_Tiers!$B$1:$E$2,2,FALSE),"Fee tier not found")</f>
        <v/>
      </c>
      <c r="N224" s="8">
        <f>SUMIFS(Daily_Merchant!$C$2:$C$444,Daily_Merchant!$A$2:$A$444,C224,Daily_Merchant!$B$2:$B$444,L224)</f>
        <v/>
      </c>
      <c r="O224" s="2">
        <f>IF(AND(N224&gt;5000,K224&lt;&gt;"East"),"High-Value Merchant Day","")</f>
        <v/>
      </c>
    </row>
    <row r="225">
      <c r="A225" s="2" t="inlineStr">
        <is>
          <t>TXN100223</t>
        </is>
      </c>
      <c r="B225" s="2" t="n">
        <v>224</v>
      </c>
      <c r="C225" s="2" t="n">
        <v>2</v>
      </c>
      <c r="D225" s="12" t="n">
        <v>46035.95972222222</v>
      </c>
      <c r="E225" s="8" t="n">
        <v>49</v>
      </c>
      <c r="F225" s="2" t="inlineStr">
        <is>
          <t>Card</t>
        </is>
      </c>
      <c r="G225" s="2" t="inlineStr">
        <is>
          <t>captured</t>
        </is>
      </c>
      <c r="H225" s="2" t="n">
        <v>58</v>
      </c>
      <c r="I225" s="2">
        <f>IFERROR(VLOOKUP(C225,Merchants!$A$2:$D$41,2,FALSE),"Merchant not found")</f>
        <v/>
      </c>
      <c r="J225" s="2">
        <f>IFERROR(VLOOKUP(C225,Merchants!$A$2:$D$41,3,FALSE),"Merchant not found")</f>
        <v/>
      </c>
      <c r="K225" s="2">
        <f>IFERROR(VLOOKUP(C225,Merchants!$A$2:$D$41,4,FALSE),"Merchant not found")</f>
        <v/>
      </c>
      <c r="L225" s="7">
        <f>DATE(YEAR(D225),MONTH(D225),DAY(D225))</f>
        <v/>
      </c>
      <c r="M225" s="5">
        <f>IFERROR(HLOOKUP(F225,Fee_Tiers!$B$1:$E$2,2,FALSE),"Fee tier not found")</f>
        <v/>
      </c>
      <c r="N225" s="8">
        <f>SUMIFS(Daily_Merchant!$C$2:$C$444,Daily_Merchant!$A$2:$A$444,C225,Daily_Merchant!$B$2:$B$444,L225)</f>
        <v/>
      </c>
      <c r="O225" s="2">
        <f>IF(AND(N225&gt;5000,K225&lt;&gt;"East"),"High-Value Merchant Day","")</f>
        <v/>
      </c>
    </row>
    <row r="226">
      <c r="A226" s="2" t="inlineStr">
        <is>
          <t>TXN100224</t>
        </is>
      </c>
      <c r="B226" s="2" t="n">
        <v>161</v>
      </c>
      <c r="C226" s="2" t="n">
        <v>37</v>
      </c>
      <c r="D226" s="12" t="n">
        <v>46052.12152777778</v>
      </c>
      <c r="E226" s="8" t="n">
        <v>299</v>
      </c>
      <c r="F226" s="2" t="inlineStr">
        <is>
          <t>UPI</t>
        </is>
      </c>
      <c r="G226" s="2" t="inlineStr">
        <is>
          <t>captured</t>
        </is>
      </c>
      <c r="H226" s="2" t="n">
        <v>54</v>
      </c>
      <c r="I226" s="2">
        <f>IFERROR(VLOOKUP(C226,Merchants!$A$2:$D$41,2,FALSE),"Merchant not found")</f>
        <v/>
      </c>
      <c r="J226" s="2">
        <f>IFERROR(VLOOKUP(C226,Merchants!$A$2:$D$41,3,FALSE),"Merchant not found")</f>
        <v/>
      </c>
      <c r="K226" s="2">
        <f>IFERROR(VLOOKUP(C226,Merchants!$A$2:$D$41,4,FALSE),"Merchant not found")</f>
        <v/>
      </c>
      <c r="L226" s="7">
        <f>DATE(YEAR(D226),MONTH(D226),DAY(D226))</f>
        <v/>
      </c>
      <c r="M226" s="5">
        <f>IFERROR(HLOOKUP(F226,Fee_Tiers!$B$1:$E$2,2,FALSE),"Fee tier not found")</f>
        <v/>
      </c>
      <c r="N226" s="8">
        <f>SUMIFS(Daily_Merchant!$C$2:$C$444,Daily_Merchant!$A$2:$A$444,C226,Daily_Merchant!$B$2:$B$444,L226)</f>
        <v/>
      </c>
      <c r="O226" s="2">
        <f>IF(AND(N226&gt;5000,K226&lt;&gt;"East"),"High-Value Merchant Day","")</f>
        <v/>
      </c>
    </row>
    <row r="227">
      <c r="A227" s="2" t="inlineStr">
        <is>
          <t>TXN100225</t>
        </is>
      </c>
      <c r="B227" s="2" t="n">
        <v>328</v>
      </c>
      <c r="C227" s="2" t="n">
        <v>27</v>
      </c>
      <c r="D227" s="12" t="n">
        <v>46041.53125</v>
      </c>
      <c r="E227" s="8" t="n">
        <v>49</v>
      </c>
      <c r="F227" s="2" t="inlineStr">
        <is>
          <t>UPI</t>
        </is>
      </c>
      <c r="G227" s="2" t="inlineStr">
        <is>
          <t>chargeback</t>
        </is>
      </c>
      <c r="H227" s="2" t="n">
        <v>37</v>
      </c>
      <c r="I227" s="2">
        <f>IFERROR(VLOOKUP(C227,Merchants!$A$2:$D$41,2,FALSE),"Merchant not found")</f>
        <v/>
      </c>
      <c r="J227" s="2">
        <f>IFERROR(VLOOKUP(C227,Merchants!$A$2:$D$41,3,FALSE),"Merchant not found")</f>
        <v/>
      </c>
      <c r="K227" s="2">
        <f>IFERROR(VLOOKUP(C227,Merchants!$A$2:$D$41,4,FALSE),"Merchant not found")</f>
        <v/>
      </c>
      <c r="L227" s="7">
        <f>DATE(YEAR(D227),MONTH(D227),DAY(D227))</f>
        <v/>
      </c>
      <c r="M227" s="5">
        <f>IFERROR(HLOOKUP(F227,Fee_Tiers!$B$1:$E$2,2,FALSE),"Fee tier not found")</f>
        <v/>
      </c>
      <c r="N227" s="8">
        <f>SUMIFS(Daily_Merchant!$C$2:$C$444,Daily_Merchant!$A$2:$A$444,C227,Daily_Merchant!$B$2:$B$444,L227)</f>
        <v/>
      </c>
      <c r="O227" s="2">
        <f>IF(AND(N227&gt;5000,K227&lt;&gt;"East"),"High-Value Merchant Day","")</f>
        <v/>
      </c>
    </row>
    <row r="228">
      <c r="A228" s="2" t="inlineStr">
        <is>
          <t>TXN100226</t>
        </is>
      </c>
      <c r="B228" s="2" t="n">
        <v>167</v>
      </c>
      <c r="C228" s="2" t="n">
        <v>11</v>
      </c>
      <c r="D228" s="12" t="n">
        <v>46026.50069444445</v>
      </c>
      <c r="E228" s="8" t="n">
        <v>1499</v>
      </c>
      <c r="F228" s="2" t="inlineStr">
        <is>
          <t>Card</t>
        </is>
      </c>
      <c r="G228" s="2" t="inlineStr">
        <is>
          <t>failed</t>
        </is>
      </c>
      <c r="H228" s="2" t="n">
        <v>79</v>
      </c>
      <c r="I228" s="2">
        <f>IFERROR(VLOOKUP(C228,Merchants!$A$2:$D$41,2,FALSE),"Merchant not found")</f>
        <v/>
      </c>
      <c r="J228" s="2">
        <f>IFERROR(VLOOKUP(C228,Merchants!$A$2:$D$41,3,FALSE),"Merchant not found")</f>
        <v/>
      </c>
      <c r="K228" s="2">
        <f>IFERROR(VLOOKUP(C228,Merchants!$A$2:$D$41,4,FALSE),"Merchant not found")</f>
        <v/>
      </c>
      <c r="L228" s="7">
        <f>DATE(YEAR(D228),MONTH(D228),DAY(D228))</f>
        <v/>
      </c>
      <c r="M228" s="5">
        <f>IFERROR(HLOOKUP(F228,Fee_Tiers!$B$1:$E$2,2,FALSE),"Fee tier not found")</f>
        <v/>
      </c>
      <c r="N228" s="8">
        <f>SUMIFS(Daily_Merchant!$C$2:$C$444,Daily_Merchant!$A$2:$A$444,C228,Daily_Merchant!$B$2:$B$444,L228)</f>
        <v/>
      </c>
      <c r="O228" s="2">
        <f>IF(AND(N228&gt;5000,K228&lt;&gt;"East"),"High-Value Merchant Day","")</f>
        <v/>
      </c>
    </row>
    <row r="229">
      <c r="A229" s="2" t="inlineStr">
        <is>
          <t>TXN100227</t>
        </is>
      </c>
      <c r="B229" s="2" t="n">
        <v>186</v>
      </c>
      <c r="C229" s="2" t="n">
        <v>6</v>
      </c>
      <c r="D229" s="12" t="n">
        <v>46037.95694444444</v>
      </c>
      <c r="E229" s="8" t="n">
        <v>49</v>
      </c>
      <c r="F229" s="2" t="inlineStr">
        <is>
          <t>Wallet</t>
        </is>
      </c>
      <c r="G229" s="2" t="inlineStr">
        <is>
          <t>captured</t>
        </is>
      </c>
      <c r="H229" s="2" t="n">
        <v>55</v>
      </c>
      <c r="I229" s="2">
        <f>IFERROR(VLOOKUP(C229,Merchants!$A$2:$D$41,2,FALSE),"Merchant not found")</f>
        <v/>
      </c>
      <c r="J229" s="2">
        <f>IFERROR(VLOOKUP(C229,Merchants!$A$2:$D$41,3,FALSE),"Merchant not found")</f>
        <v/>
      </c>
      <c r="K229" s="2">
        <f>IFERROR(VLOOKUP(C229,Merchants!$A$2:$D$41,4,FALSE),"Merchant not found")</f>
        <v/>
      </c>
      <c r="L229" s="7">
        <f>DATE(YEAR(D229),MONTH(D229),DAY(D229))</f>
        <v/>
      </c>
      <c r="M229" s="5">
        <f>IFERROR(HLOOKUP(F229,Fee_Tiers!$B$1:$E$2,2,FALSE),"Fee tier not found")</f>
        <v/>
      </c>
      <c r="N229" s="8">
        <f>SUMIFS(Daily_Merchant!$C$2:$C$444,Daily_Merchant!$A$2:$A$444,C229,Daily_Merchant!$B$2:$B$444,L229)</f>
        <v/>
      </c>
      <c r="O229" s="2">
        <f>IF(AND(N229&gt;5000,K229&lt;&gt;"East"),"High-Value Merchant Day","")</f>
        <v/>
      </c>
    </row>
    <row r="230">
      <c r="A230" s="2" t="inlineStr">
        <is>
          <t>TXN100228</t>
        </is>
      </c>
      <c r="B230" s="2" t="n">
        <v>224</v>
      </c>
      <c r="C230" s="2" t="n">
        <v>38</v>
      </c>
      <c r="D230" s="12" t="n">
        <v>46050.13541666666</v>
      </c>
      <c r="E230" s="8" t="n">
        <v>299</v>
      </c>
      <c r="F230" s="2" t="inlineStr">
        <is>
          <t>Wallet</t>
        </is>
      </c>
      <c r="G230" s="2" t="inlineStr">
        <is>
          <t>failed</t>
        </is>
      </c>
      <c r="H230" s="2" t="n">
        <v>51</v>
      </c>
      <c r="I230" s="2">
        <f>IFERROR(VLOOKUP(C230,Merchants!$A$2:$D$41,2,FALSE),"Merchant not found")</f>
        <v/>
      </c>
      <c r="J230" s="2">
        <f>IFERROR(VLOOKUP(C230,Merchants!$A$2:$D$41,3,FALSE),"Merchant not found")</f>
        <v/>
      </c>
      <c r="K230" s="2">
        <f>IFERROR(VLOOKUP(C230,Merchants!$A$2:$D$41,4,FALSE),"Merchant not found")</f>
        <v/>
      </c>
      <c r="L230" s="7">
        <f>DATE(YEAR(D230),MONTH(D230),DAY(D230))</f>
        <v/>
      </c>
      <c r="M230" s="5">
        <f>IFERROR(HLOOKUP(F230,Fee_Tiers!$B$1:$E$2,2,FALSE),"Fee tier not found")</f>
        <v/>
      </c>
      <c r="N230" s="8">
        <f>SUMIFS(Daily_Merchant!$C$2:$C$444,Daily_Merchant!$A$2:$A$444,C230,Daily_Merchant!$B$2:$B$444,L230)</f>
        <v/>
      </c>
      <c r="O230" s="2">
        <f>IF(AND(N230&gt;5000,K230&lt;&gt;"East"),"High-Value Merchant Day","")</f>
        <v/>
      </c>
    </row>
    <row r="231">
      <c r="A231" s="2" t="inlineStr">
        <is>
          <t>TXN100229</t>
        </is>
      </c>
      <c r="B231" s="2" t="n">
        <v>159</v>
      </c>
      <c r="C231" s="2" t="n">
        <v>22</v>
      </c>
      <c r="D231" s="12" t="n">
        <v>46039.10069444445</v>
      </c>
      <c r="E231" s="8" t="n">
        <v>799</v>
      </c>
      <c r="F231" s="2" t="inlineStr">
        <is>
          <t>UPI</t>
        </is>
      </c>
      <c r="G231" s="2" t="inlineStr">
        <is>
          <t>captured</t>
        </is>
      </c>
      <c r="H231" s="2" t="n">
        <v>28</v>
      </c>
      <c r="I231" s="2">
        <f>IFERROR(VLOOKUP(C231,Merchants!$A$2:$D$41,2,FALSE),"Merchant not found")</f>
        <v/>
      </c>
      <c r="J231" s="2">
        <f>IFERROR(VLOOKUP(C231,Merchants!$A$2:$D$41,3,FALSE),"Merchant not found")</f>
        <v/>
      </c>
      <c r="K231" s="2">
        <f>IFERROR(VLOOKUP(C231,Merchants!$A$2:$D$41,4,FALSE),"Merchant not found")</f>
        <v/>
      </c>
      <c r="L231" s="7">
        <f>DATE(YEAR(D231),MONTH(D231),DAY(D231))</f>
        <v/>
      </c>
      <c r="M231" s="5">
        <f>IFERROR(HLOOKUP(F231,Fee_Tiers!$B$1:$E$2,2,FALSE),"Fee tier not found")</f>
        <v/>
      </c>
      <c r="N231" s="8">
        <f>SUMIFS(Daily_Merchant!$C$2:$C$444,Daily_Merchant!$A$2:$A$444,C231,Daily_Merchant!$B$2:$B$444,L231)</f>
        <v/>
      </c>
      <c r="O231" s="2">
        <f>IF(AND(N231&gt;5000,K231&lt;&gt;"East"),"High-Value Merchant Day","")</f>
        <v/>
      </c>
    </row>
    <row r="232">
      <c r="A232" s="2" t="inlineStr">
        <is>
          <t>TXN100230</t>
        </is>
      </c>
      <c r="B232" s="2" t="n">
        <v>262</v>
      </c>
      <c r="C232" s="2" t="n">
        <v>8</v>
      </c>
      <c r="D232" s="12" t="n">
        <v>46033.21111111111</v>
      </c>
      <c r="E232" s="8" t="n">
        <v>149</v>
      </c>
      <c r="F232" s="2" t="inlineStr">
        <is>
          <t>UPI</t>
        </is>
      </c>
      <c r="G232" s="2" t="inlineStr">
        <is>
          <t>captured</t>
        </is>
      </c>
      <c r="H232" s="2" t="n">
        <v>67</v>
      </c>
      <c r="I232" s="2">
        <f>IFERROR(VLOOKUP(C232,Merchants!$A$2:$D$41,2,FALSE),"Merchant not found")</f>
        <v/>
      </c>
      <c r="J232" s="2">
        <f>IFERROR(VLOOKUP(C232,Merchants!$A$2:$D$41,3,FALSE),"Merchant not found")</f>
        <v/>
      </c>
      <c r="K232" s="2">
        <f>IFERROR(VLOOKUP(C232,Merchants!$A$2:$D$41,4,FALSE),"Merchant not found")</f>
        <v/>
      </c>
      <c r="L232" s="7">
        <f>DATE(YEAR(D232),MONTH(D232),DAY(D232))</f>
        <v/>
      </c>
      <c r="M232" s="5">
        <f>IFERROR(HLOOKUP(F232,Fee_Tiers!$B$1:$E$2,2,FALSE),"Fee tier not found")</f>
        <v/>
      </c>
      <c r="N232" s="8">
        <f>SUMIFS(Daily_Merchant!$C$2:$C$444,Daily_Merchant!$A$2:$A$444,C232,Daily_Merchant!$B$2:$B$444,L232)</f>
        <v/>
      </c>
      <c r="O232" s="2">
        <f>IF(AND(N232&gt;5000,K232&lt;&gt;"East"),"High-Value Merchant Day","")</f>
        <v/>
      </c>
    </row>
    <row r="233">
      <c r="A233" s="2" t="inlineStr">
        <is>
          <t>TXN100231</t>
        </is>
      </c>
      <c r="B233" s="2" t="n">
        <v>179</v>
      </c>
      <c r="C233" s="2" t="n">
        <v>23</v>
      </c>
      <c r="D233" s="12" t="n">
        <v>46039.28958333333</v>
      </c>
      <c r="E233" s="8" t="n">
        <v>49</v>
      </c>
      <c r="F233" s="2" t="inlineStr">
        <is>
          <t>Wallet</t>
        </is>
      </c>
      <c r="G233" s="2" t="inlineStr">
        <is>
          <t>captured</t>
        </is>
      </c>
      <c r="H233" s="2" t="n">
        <v>93</v>
      </c>
      <c r="I233" s="2">
        <f>IFERROR(VLOOKUP(C233,Merchants!$A$2:$D$41,2,FALSE),"Merchant not found")</f>
        <v/>
      </c>
      <c r="J233" s="2">
        <f>IFERROR(VLOOKUP(C233,Merchants!$A$2:$D$41,3,FALSE),"Merchant not found")</f>
        <v/>
      </c>
      <c r="K233" s="2">
        <f>IFERROR(VLOOKUP(C233,Merchants!$A$2:$D$41,4,FALSE),"Merchant not found")</f>
        <v/>
      </c>
      <c r="L233" s="7">
        <f>DATE(YEAR(D233),MONTH(D233),DAY(D233))</f>
        <v/>
      </c>
      <c r="M233" s="5">
        <f>IFERROR(HLOOKUP(F233,Fee_Tiers!$B$1:$E$2,2,FALSE),"Fee tier not found")</f>
        <v/>
      </c>
      <c r="N233" s="8">
        <f>SUMIFS(Daily_Merchant!$C$2:$C$444,Daily_Merchant!$A$2:$A$444,C233,Daily_Merchant!$B$2:$B$444,L233)</f>
        <v/>
      </c>
      <c r="O233" s="2">
        <f>IF(AND(N233&gt;5000,K233&lt;&gt;"East"),"High-Value Merchant Day","")</f>
        <v/>
      </c>
    </row>
    <row r="234">
      <c r="A234" s="2" t="inlineStr">
        <is>
          <t>TXN100232</t>
        </is>
      </c>
      <c r="B234" s="2" t="n">
        <v>76</v>
      </c>
      <c r="C234" s="2" t="n">
        <v>16</v>
      </c>
      <c r="D234" s="12" t="n">
        <v>46049.86944444444</v>
      </c>
      <c r="E234" s="8" t="n">
        <v>299</v>
      </c>
      <c r="F234" s="2" t="inlineStr">
        <is>
          <t>UPI</t>
        </is>
      </c>
      <c r="G234" s="2" t="inlineStr">
        <is>
          <t>captured</t>
        </is>
      </c>
      <c r="H234" s="2" t="n">
        <v>13</v>
      </c>
      <c r="I234" s="2">
        <f>IFERROR(VLOOKUP(C234,Merchants!$A$2:$D$41,2,FALSE),"Merchant not found")</f>
        <v/>
      </c>
      <c r="J234" s="2">
        <f>IFERROR(VLOOKUP(C234,Merchants!$A$2:$D$41,3,FALSE),"Merchant not found")</f>
        <v/>
      </c>
      <c r="K234" s="2">
        <f>IFERROR(VLOOKUP(C234,Merchants!$A$2:$D$41,4,FALSE),"Merchant not found")</f>
        <v/>
      </c>
      <c r="L234" s="7">
        <f>DATE(YEAR(D234),MONTH(D234),DAY(D234))</f>
        <v/>
      </c>
      <c r="M234" s="5">
        <f>IFERROR(HLOOKUP(F234,Fee_Tiers!$B$1:$E$2,2,FALSE),"Fee tier not found")</f>
        <v/>
      </c>
      <c r="N234" s="8">
        <f>SUMIFS(Daily_Merchant!$C$2:$C$444,Daily_Merchant!$A$2:$A$444,C234,Daily_Merchant!$B$2:$B$444,L234)</f>
        <v/>
      </c>
      <c r="O234" s="2">
        <f>IF(AND(N234&gt;5000,K234&lt;&gt;"East"),"High-Value Merchant Day","")</f>
        <v/>
      </c>
    </row>
    <row r="235">
      <c r="A235" s="2" t="inlineStr">
        <is>
          <t>TXN100233</t>
        </is>
      </c>
      <c r="B235" s="2" t="n">
        <v>89</v>
      </c>
      <c r="C235" s="2" t="n">
        <v>39</v>
      </c>
      <c r="D235" s="12" t="n">
        <v>46027.34166666667</v>
      </c>
      <c r="E235" s="8" t="n">
        <v>299</v>
      </c>
      <c r="F235" s="2" t="inlineStr">
        <is>
          <t>UPI</t>
        </is>
      </c>
      <c r="G235" s="2" t="inlineStr">
        <is>
          <t>captured</t>
        </is>
      </c>
      <c r="H235" s="2" t="n">
        <v>19</v>
      </c>
      <c r="I235" s="2">
        <f>IFERROR(VLOOKUP(C235,Merchants!$A$2:$D$41,2,FALSE),"Merchant not found")</f>
        <v/>
      </c>
      <c r="J235" s="2">
        <f>IFERROR(VLOOKUP(C235,Merchants!$A$2:$D$41,3,FALSE),"Merchant not found")</f>
        <v/>
      </c>
      <c r="K235" s="2">
        <f>IFERROR(VLOOKUP(C235,Merchants!$A$2:$D$41,4,FALSE),"Merchant not found")</f>
        <v/>
      </c>
      <c r="L235" s="7">
        <f>DATE(YEAR(D235),MONTH(D235),DAY(D235))</f>
        <v/>
      </c>
      <c r="M235" s="5">
        <f>IFERROR(HLOOKUP(F235,Fee_Tiers!$B$1:$E$2,2,FALSE),"Fee tier not found")</f>
        <v/>
      </c>
      <c r="N235" s="8">
        <f>SUMIFS(Daily_Merchant!$C$2:$C$444,Daily_Merchant!$A$2:$A$444,C235,Daily_Merchant!$B$2:$B$444,L235)</f>
        <v/>
      </c>
      <c r="O235" s="2">
        <f>IF(AND(N235&gt;5000,K235&lt;&gt;"East"),"High-Value Merchant Day","")</f>
        <v/>
      </c>
    </row>
    <row r="236">
      <c r="A236" s="2" t="inlineStr">
        <is>
          <t>TXN100234</t>
        </is>
      </c>
      <c r="B236" s="2" t="n">
        <v>91</v>
      </c>
      <c r="C236" s="2" t="n">
        <v>32</v>
      </c>
      <c r="D236" s="12" t="n">
        <v>46047.83611111111</v>
      </c>
      <c r="E236" s="8" t="n">
        <v>49</v>
      </c>
      <c r="F236" s="2" t="inlineStr">
        <is>
          <t>UPI</t>
        </is>
      </c>
      <c r="G236" s="2" t="inlineStr">
        <is>
          <t>captured</t>
        </is>
      </c>
      <c r="H236" s="2" t="n">
        <v>59</v>
      </c>
      <c r="I236" s="2">
        <f>IFERROR(VLOOKUP(C236,Merchants!$A$2:$D$41,2,FALSE),"Merchant not found")</f>
        <v/>
      </c>
      <c r="J236" s="2">
        <f>IFERROR(VLOOKUP(C236,Merchants!$A$2:$D$41,3,FALSE),"Merchant not found")</f>
        <v/>
      </c>
      <c r="K236" s="2">
        <f>IFERROR(VLOOKUP(C236,Merchants!$A$2:$D$41,4,FALSE),"Merchant not found")</f>
        <v/>
      </c>
      <c r="L236" s="7">
        <f>DATE(YEAR(D236),MONTH(D236),DAY(D236))</f>
        <v/>
      </c>
      <c r="M236" s="5">
        <f>IFERROR(HLOOKUP(F236,Fee_Tiers!$B$1:$E$2,2,FALSE),"Fee tier not found")</f>
        <v/>
      </c>
      <c r="N236" s="8">
        <f>SUMIFS(Daily_Merchant!$C$2:$C$444,Daily_Merchant!$A$2:$A$444,C236,Daily_Merchant!$B$2:$B$444,L236)</f>
        <v/>
      </c>
      <c r="O236" s="2">
        <f>IF(AND(N236&gt;5000,K236&lt;&gt;"East"),"High-Value Merchant Day","")</f>
        <v/>
      </c>
    </row>
    <row r="237">
      <c r="A237" s="2" t="inlineStr">
        <is>
          <t>TXN100235</t>
        </is>
      </c>
      <c r="B237" s="2" t="n">
        <v>297</v>
      </c>
      <c r="C237" s="2" t="n">
        <v>29</v>
      </c>
      <c r="D237" s="12" t="n">
        <v>46047.78333333333</v>
      </c>
      <c r="E237" s="8" t="n">
        <v>99</v>
      </c>
      <c r="F237" s="2" t="inlineStr">
        <is>
          <t>Card</t>
        </is>
      </c>
      <c r="G237" s="2" t="inlineStr">
        <is>
          <t>chargeback</t>
        </is>
      </c>
      <c r="H237" s="2" t="n">
        <v>87</v>
      </c>
      <c r="I237" s="2">
        <f>IFERROR(VLOOKUP(C237,Merchants!$A$2:$D$41,2,FALSE),"Merchant not found")</f>
        <v/>
      </c>
      <c r="J237" s="2">
        <f>IFERROR(VLOOKUP(C237,Merchants!$A$2:$D$41,3,FALSE),"Merchant not found")</f>
        <v/>
      </c>
      <c r="K237" s="2">
        <f>IFERROR(VLOOKUP(C237,Merchants!$A$2:$D$41,4,FALSE),"Merchant not found")</f>
        <v/>
      </c>
      <c r="L237" s="7">
        <f>DATE(YEAR(D237),MONTH(D237),DAY(D237))</f>
        <v/>
      </c>
      <c r="M237" s="5">
        <f>IFERROR(HLOOKUP(F237,Fee_Tiers!$B$1:$E$2,2,FALSE),"Fee tier not found")</f>
        <v/>
      </c>
      <c r="N237" s="8">
        <f>SUMIFS(Daily_Merchant!$C$2:$C$444,Daily_Merchant!$A$2:$A$444,C237,Daily_Merchant!$B$2:$B$444,L237)</f>
        <v/>
      </c>
      <c r="O237" s="2">
        <f>IF(AND(N237&gt;5000,K237&lt;&gt;"East"),"High-Value Merchant Day","")</f>
        <v/>
      </c>
    </row>
    <row r="238">
      <c r="A238" s="2" t="inlineStr">
        <is>
          <t>TXN100236</t>
        </is>
      </c>
      <c r="B238" s="2" t="n">
        <v>326</v>
      </c>
      <c r="C238" s="2" t="n">
        <v>40</v>
      </c>
      <c r="D238" s="12" t="n">
        <v>46052.77847222222</v>
      </c>
      <c r="E238" s="8" t="n">
        <v>499</v>
      </c>
      <c r="F238" s="2" t="inlineStr">
        <is>
          <t>Card</t>
        </is>
      </c>
      <c r="G238" s="2" t="inlineStr">
        <is>
          <t>captured</t>
        </is>
      </c>
      <c r="H238" s="2" t="n">
        <v>41</v>
      </c>
      <c r="I238" s="2">
        <f>IFERROR(VLOOKUP(C238,Merchants!$A$2:$D$41,2,FALSE),"Merchant not found")</f>
        <v/>
      </c>
      <c r="J238" s="2">
        <f>IFERROR(VLOOKUP(C238,Merchants!$A$2:$D$41,3,FALSE),"Merchant not found")</f>
        <v/>
      </c>
      <c r="K238" s="2">
        <f>IFERROR(VLOOKUP(C238,Merchants!$A$2:$D$41,4,FALSE),"Merchant not found")</f>
        <v/>
      </c>
      <c r="L238" s="7">
        <f>DATE(YEAR(D238),MONTH(D238),DAY(D238))</f>
        <v/>
      </c>
      <c r="M238" s="5">
        <f>IFERROR(HLOOKUP(F238,Fee_Tiers!$B$1:$E$2,2,FALSE),"Fee tier not found")</f>
        <v/>
      </c>
      <c r="N238" s="8">
        <f>SUMIFS(Daily_Merchant!$C$2:$C$444,Daily_Merchant!$A$2:$A$444,C238,Daily_Merchant!$B$2:$B$444,L238)</f>
        <v/>
      </c>
      <c r="O238" s="2">
        <f>IF(AND(N238&gt;5000,K238&lt;&gt;"East"),"High-Value Merchant Day","")</f>
        <v/>
      </c>
    </row>
    <row r="239">
      <c r="A239" s="2" t="inlineStr">
        <is>
          <t>TXN100237</t>
        </is>
      </c>
      <c r="B239" s="2" t="n">
        <v>78</v>
      </c>
      <c r="C239" s="2" t="n">
        <v>29</v>
      </c>
      <c r="D239" s="12" t="n">
        <v>46050.84722222222</v>
      </c>
      <c r="E239" s="8" t="n">
        <v>149</v>
      </c>
      <c r="F239" s="2" t="inlineStr">
        <is>
          <t>UPI</t>
        </is>
      </c>
      <c r="G239" s="2" t="inlineStr">
        <is>
          <t>captured</t>
        </is>
      </c>
      <c r="H239" s="2" t="n">
        <v>8</v>
      </c>
      <c r="I239" s="2">
        <f>IFERROR(VLOOKUP(C239,Merchants!$A$2:$D$41,2,FALSE),"Merchant not found")</f>
        <v/>
      </c>
      <c r="J239" s="2">
        <f>IFERROR(VLOOKUP(C239,Merchants!$A$2:$D$41,3,FALSE),"Merchant not found")</f>
        <v/>
      </c>
      <c r="K239" s="2">
        <f>IFERROR(VLOOKUP(C239,Merchants!$A$2:$D$41,4,FALSE),"Merchant not found")</f>
        <v/>
      </c>
      <c r="L239" s="7">
        <f>DATE(YEAR(D239),MONTH(D239),DAY(D239))</f>
        <v/>
      </c>
      <c r="M239" s="5">
        <f>IFERROR(HLOOKUP(F239,Fee_Tiers!$B$1:$E$2,2,FALSE),"Fee tier not found")</f>
        <v/>
      </c>
      <c r="N239" s="8">
        <f>SUMIFS(Daily_Merchant!$C$2:$C$444,Daily_Merchant!$A$2:$A$444,C239,Daily_Merchant!$B$2:$B$444,L239)</f>
        <v/>
      </c>
      <c r="O239" s="2">
        <f>IF(AND(N239&gt;5000,K239&lt;&gt;"East"),"High-Value Merchant Day","")</f>
        <v/>
      </c>
    </row>
    <row r="240">
      <c r="A240" s="2" t="inlineStr">
        <is>
          <t>TXN100238</t>
        </is>
      </c>
      <c r="B240" s="2" t="n">
        <v>156</v>
      </c>
      <c r="C240" s="2" t="n">
        <v>18</v>
      </c>
      <c r="D240" s="12" t="n">
        <v>46038.61111111111</v>
      </c>
      <c r="E240" s="8" t="n">
        <v>2999</v>
      </c>
      <c r="F240" s="2" t="inlineStr">
        <is>
          <t>Card</t>
        </is>
      </c>
      <c r="G240" s="2" t="inlineStr">
        <is>
          <t>captured</t>
        </is>
      </c>
      <c r="H240" s="2" t="n">
        <v>75</v>
      </c>
      <c r="I240" s="2">
        <f>IFERROR(VLOOKUP(C240,Merchants!$A$2:$D$41,2,FALSE),"Merchant not found")</f>
        <v/>
      </c>
      <c r="J240" s="2">
        <f>IFERROR(VLOOKUP(C240,Merchants!$A$2:$D$41,3,FALSE),"Merchant not found")</f>
        <v/>
      </c>
      <c r="K240" s="2">
        <f>IFERROR(VLOOKUP(C240,Merchants!$A$2:$D$41,4,FALSE),"Merchant not found")</f>
        <v/>
      </c>
      <c r="L240" s="7">
        <f>DATE(YEAR(D240),MONTH(D240),DAY(D240))</f>
        <v/>
      </c>
      <c r="M240" s="5">
        <f>IFERROR(HLOOKUP(F240,Fee_Tiers!$B$1:$E$2,2,FALSE),"Fee tier not found")</f>
        <v/>
      </c>
      <c r="N240" s="8">
        <f>SUMIFS(Daily_Merchant!$C$2:$C$444,Daily_Merchant!$A$2:$A$444,C240,Daily_Merchant!$B$2:$B$444,L240)</f>
        <v/>
      </c>
      <c r="O240" s="2">
        <f>IF(AND(N240&gt;5000,K240&lt;&gt;"East"),"High-Value Merchant Day","")</f>
        <v/>
      </c>
    </row>
    <row r="241">
      <c r="A241" s="2" t="inlineStr">
        <is>
          <t>TXN100239</t>
        </is>
      </c>
      <c r="B241" s="2" t="n">
        <v>38</v>
      </c>
      <c r="C241" s="2" t="n">
        <v>20</v>
      </c>
      <c r="D241" s="12" t="n">
        <v>46024.48055555556</v>
      </c>
      <c r="E241" s="8" t="n">
        <v>49</v>
      </c>
      <c r="F241" s="2" t="inlineStr">
        <is>
          <t>Wallet</t>
        </is>
      </c>
      <c r="G241" s="2" t="inlineStr">
        <is>
          <t>failed</t>
        </is>
      </c>
      <c r="H241" s="2" t="n">
        <v>59</v>
      </c>
      <c r="I241" s="2">
        <f>IFERROR(VLOOKUP(C241,Merchants!$A$2:$D$41,2,FALSE),"Merchant not found")</f>
        <v/>
      </c>
      <c r="J241" s="2">
        <f>IFERROR(VLOOKUP(C241,Merchants!$A$2:$D$41,3,FALSE),"Merchant not found")</f>
        <v/>
      </c>
      <c r="K241" s="2">
        <f>IFERROR(VLOOKUP(C241,Merchants!$A$2:$D$41,4,FALSE),"Merchant not found")</f>
        <v/>
      </c>
      <c r="L241" s="7">
        <f>DATE(YEAR(D241),MONTH(D241),DAY(D241))</f>
        <v/>
      </c>
      <c r="M241" s="5">
        <f>IFERROR(HLOOKUP(F241,Fee_Tiers!$B$1:$E$2,2,FALSE),"Fee tier not found")</f>
        <v/>
      </c>
      <c r="N241" s="8">
        <f>SUMIFS(Daily_Merchant!$C$2:$C$444,Daily_Merchant!$A$2:$A$444,C241,Daily_Merchant!$B$2:$B$444,L241)</f>
        <v/>
      </c>
      <c r="O241" s="2">
        <f>IF(AND(N241&gt;5000,K241&lt;&gt;"East"),"High-Value Merchant Day","")</f>
        <v/>
      </c>
    </row>
    <row r="242">
      <c r="A242" s="2" t="inlineStr">
        <is>
          <t>TXN100240</t>
        </is>
      </c>
      <c r="B242" s="2" t="n">
        <v>189</v>
      </c>
      <c r="C242" s="2" t="n">
        <v>19</v>
      </c>
      <c r="D242" s="12" t="n">
        <v>46037.04375</v>
      </c>
      <c r="E242" s="8" t="n">
        <v>99</v>
      </c>
      <c r="F242" s="2" t="inlineStr">
        <is>
          <t>UPI</t>
        </is>
      </c>
      <c r="G242" s="2" t="inlineStr">
        <is>
          <t>failed</t>
        </is>
      </c>
      <c r="H242" s="2" t="n">
        <v>9</v>
      </c>
      <c r="I242" s="2">
        <f>IFERROR(VLOOKUP(C242,Merchants!$A$2:$D$41,2,FALSE),"Merchant not found")</f>
        <v/>
      </c>
      <c r="J242" s="2">
        <f>IFERROR(VLOOKUP(C242,Merchants!$A$2:$D$41,3,FALSE),"Merchant not found")</f>
        <v/>
      </c>
      <c r="K242" s="2">
        <f>IFERROR(VLOOKUP(C242,Merchants!$A$2:$D$41,4,FALSE),"Merchant not found")</f>
        <v/>
      </c>
      <c r="L242" s="7">
        <f>DATE(YEAR(D242),MONTH(D242),DAY(D242))</f>
        <v/>
      </c>
      <c r="M242" s="5">
        <f>IFERROR(HLOOKUP(F242,Fee_Tiers!$B$1:$E$2,2,FALSE),"Fee tier not found")</f>
        <v/>
      </c>
      <c r="N242" s="8">
        <f>SUMIFS(Daily_Merchant!$C$2:$C$444,Daily_Merchant!$A$2:$A$444,C242,Daily_Merchant!$B$2:$B$444,L242)</f>
        <v/>
      </c>
      <c r="O242" s="2">
        <f>IF(AND(N242&gt;5000,K242&lt;&gt;"East"),"High-Value Merchant Day","")</f>
        <v/>
      </c>
    </row>
    <row r="243">
      <c r="A243" s="2" t="inlineStr">
        <is>
          <t>TXN100241</t>
        </is>
      </c>
      <c r="B243" s="2" t="n">
        <v>305</v>
      </c>
      <c r="C243" s="2" t="n">
        <v>33</v>
      </c>
      <c r="D243" s="12" t="n">
        <v>46043.11041666667</v>
      </c>
      <c r="E243" s="8" t="n">
        <v>299</v>
      </c>
      <c r="F243" s="2" t="inlineStr">
        <is>
          <t>Card</t>
        </is>
      </c>
      <c r="G243" s="2" t="inlineStr">
        <is>
          <t>captured</t>
        </is>
      </c>
      <c r="H243" s="2" t="n">
        <v>49</v>
      </c>
      <c r="I243" s="2">
        <f>IFERROR(VLOOKUP(C243,Merchants!$A$2:$D$41,2,FALSE),"Merchant not found")</f>
        <v/>
      </c>
      <c r="J243" s="2">
        <f>IFERROR(VLOOKUP(C243,Merchants!$A$2:$D$41,3,FALSE),"Merchant not found")</f>
        <v/>
      </c>
      <c r="K243" s="2">
        <f>IFERROR(VLOOKUP(C243,Merchants!$A$2:$D$41,4,FALSE),"Merchant not found")</f>
        <v/>
      </c>
      <c r="L243" s="7">
        <f>DATE(YEAR(D243),MONTH(D243),DAY(D243))</f>
        <v/>
      </c>
      <c r="M243" s="5">
        <f>IFERROR(HLOOKUP(F243,Fee_Tiers!$B$1:$E$2,2,FALSE),"Fee tier not found")</f>
        <v/>
      </c>
      <c r="N243" s="8">
        <f>SUMIFS(Daily_Merchant!$C$2:$C$444,Daily_Merchant!$A$2:$A$444,C243,Daily_Merchant!$B$2:$B$444,L243)</f>
        <v/>
      </c>
      <c r="O243" s="2">
        <f>IF(AND(N243&gt;5000,K243&lt;&gt;"East"),"High-Value Merchant Day","")</f>
        <v/>
      </c>
    </row>
    <row r="244">
      <c r="A244" s="2" t="inlineStr">
        <is>
          <t>TXN100242</t>
        </is>
      </c>
      <c r="B244" s="2" t="n">
        <v>22</v>
      </c>
      <c r="C244" s="2" t="n">
        <v>29</v>
      </c>
      <c r="D244" s="12" t="n">
        <v>46037.77430555555</v>
      </c>
      <c r="E244" s="8" t="n">
        <v>799</v>
      </c>
      <c r="F244" s="2" t="inlineStr">
        <is>
          <t>UPI</t>
        </is>
      </c>
      <c r="G244" s="2" t="inlineStr">
        <is>
          <t>captured</t>
        </is>
      </c>
      <c r="H244" s="2" t="n">
        <v>73</v>
      </c>
      <c r="I244" s="2">
        <f>IFERROR(VLOOKUP(C244,Merchants!$A$2:$D$41,2,FALSE),"Merchant not found")</f>
        <v/>
      </c>
      <c r="J244" s="2">
        <f>IFERROR(VLOOKUP(C244,Merchants!$A$2:$D$41,3,FALSE),"Merchant not found")</f>
        <v/>
      </c>
      <c r="K244" s="2">
        <f>IFERROR(VLOOKUP(C244,Merchants!$A$2:$D$41,4,FALSE),"Merchant not found")</f>
        <v/>
      </c>
      <c r="L244" s="7">
        <f>DATE(YEAR(D244),MONTH(D244),DAY(D244))</f>
        <v/>
      </c>
      <c r="M244" s="5">
        <f>IFERROR(HLOOKUP(F244,Fee_Tiers!$B$1:$E$2,2,FALSE),"Fee tier not found")</f>
        <v/>
      </c>
      <c r="N244" s="8">
        <f>SUMIFS(Daily_Merchant!$C$2:$C$444,Daily_Merchant!$A$2:$A$444,C244,Daily_Merchant!$B$2:$B$444,L244)</f>
        <v/>
      </c>
      <c r="O244" s="2">
        <f>IF(AND(N244&gt;5000,K244&lt;&gt;"East"),"High-Value Merchant Day","")</f>
        <v/>
      </c>
    </row>
    <row r="245">
      <c r="A245" s="2" t="inlineStr">
        <is>
          <t>TXN100243</t>
        </is>
      </c>
      <c r="B245" s="2" t="n">
        <v>310</v>
      </c>
      <c r="C245" s="2" t="n">
        <v>31</v>
      </c>
      <c r="D245" s="12" t="n">
        <v>46043.26388888889</v>
      </c>
      <c r="E245" s="8" t="n">
        <v>49</v>
      </c>
      <c r="F245" s="2" t="inlineStr">
        <is>
          <t>Card</t>
        </is>
      </c>
      <c r="G245" s="2" t="inlineStr">
        <is>
          <t>captured</t>
        </is>
      </c>
      <c r="H245" s="2" t="n">
        <v>64</v>
      </c>
      <c r="I245" s="2">
        <f>IFERROR(VLOOKUP(C245,Merchants!$A$2:$D$41,2,FALSE),"Merchant not found")</f>
        <v/>
      </c>
      <c r="J245" s="2">
        <f>IFERROR(VLOOKUP(C245,Merchants!$A$2:$D$41,3,FALSE),"Merchant not found")</f>
        <v/>
      </c>
      <c r="K245" s="2">
        <f>IFERROR(VLOOKUP(C245,Merchants!$A$2:$D$41,4,FALSE),"Merchant not found")</f>
        <v/>
      </c>
      <c r="L245" s="7">
        <f>DATE(YEAR(D245),MONTH(D245),DAY(D245))</f>
        <v/>
      </c>
      <c r="M245" s="5">
        <f>IFERROR(HLOOKUP(F245,Fee_Tiers!$B$1:$E$2,2,FALSE),"Fee tier not found")</f>
        <v/>
      </c>
      <c r="N245" s="8">
        <f>SUMIFS(Daily_Merchant!$C$2:$C$444,Daily_Merchant!$A$2:$A$444,C245,Daily_Merchant!$B$2:$B$444,L245)</f>
        <v/>
      </c>
      <c r="O245" s="2">
        <f>IF(AND(N245&gt;5000,K245&lt;&gt;"East"),"High-Value Merchant Day","")</f>
        <v/>
      </c>
    </row>
    <row r="246">
      <c r="A246" s="2" t="inlineStr">
        <is>
          <t>TXN100244</t>
        </is>
      </c>
      <c r="B246" s="2" t="n">
        <v>53</v>
      </c>
      <c r="C246" s="2" t="n">
        <v>22</v>
      </c>
      <c r="D246" s="12" t="n">
        <v>46027.06111111111</v>
      </c>
      <c r="E246" s="8" t="n">
        <v>299</v>
      </c>
      <c r="F246" s="2" t="inlineStr">
        <is>
          <t>UPI</t>
        </is>
      </c>
      <c r="G246" s="2" t="inlineStr">
        <is>
          <t>captured</t>
        </is>
      </c>
      <c r="H246" s="2" t="n">
        <v>91</v>
      </c>
      <c r="I246" s="2">
        <f>IFERROR(VLOOKUP(C246,Merchants!$A$2:$D$41,2,FALSE),"Merchant not found")</f>
        <v/>
      </c>
      <c r="J246" s="2">
        <f>IFERROR(VLOOKUP(C246,Merchants!$A$2:$D$41,3,FALSE),"Merchant not found")</f>
        <v/>
      </c>
      <c r="K246" s="2">
        <f>IFERROR(VLOOKUP(C246,Merchants!$A$2:$D$41,4,FALSE),"Merchant not found")</f>
        <v/>
      </c>
      <c r="L246" s="7">
        <f>DATE(YEAR(D246),MONTH(D246),DAY(D246))</f>
        <v/>
      </c>
      <c r="M246" s="5">
        <f>IFERROR(HLOOKUP(F246,Fee_Tiers!$B$1:$E$2,2,FALSE),"Fee tier not found")</f>
        <v/>
      </c>
      <c r="N246" s="8">
        <f>SUMIFS(Daily_Merchant!$C$2:$C$444,Daily_Merchant!$A$2:$A$444,C246,Daily_Merchant!$B$2:$B$444,L246)</f>
        <v/>
      </c>
      <c r="O246" s="2">
        <f>IF(AND(N246&gt;5000,K246&lt;&gt;"East"),"High-Value Merchant Day","")</f>
        <v/>
      </c>
    </row>
    <row r="247">
      <c r="A247" s="2" t="inlineStr">
        <is>
          <t>TXN100245</t>
        </is>
      </c>
      <c r="B247" s="2" t="n">
        <v>89</v>
      </c>
      <c r="C247" s="2" t="n">
        <v>3</v>
      </c>
      <c r="D247" s="12" t="n">
        <v>46025.69513888889</v>
      </c>
      <c r="E247" s="8" t="n">
        <v>149</v>
      </c>
      <c r="F247" s="2" t="inlineStr">
        <is>
          <t>Card</t>
        </is>
      </c>
      <c r="G247" s="2" t="inlineStr">
        <is>
          <t>captured</t>
        </is>
      </c>
      <c r="H247" s="2" t="n">
        <v>31</v>
      </c>
      <c r="I247" s="2">
        <f>IFERROR(VLOOKUP(C247,Merchants!$A$2:$D$41,2,FALSE),"Merchant not found")</f>
        <v/>
      </c>
      <c r="J247" s="2">
        <f>IFERROR(VLOOKUP(C247,Merchants!$A$2:$D$41,3,FALSE),"Merchant not found")</f>
        <v/>
      </c>
      <c r="K247" s="2">
        <f>IFERROR(VLOOKUP(C247,Merchants!$A$2:$D$41,4,FALSE),"Merchant not found")</f>
        <v/>
      </c>
      <c r="L247" s="7">
        <f>DATE(YEAR(D247),MONTH(D247),DAY(D247))</f>
        <v/>
      </c>
      <c r="M247" s="5">
        <f>IFERROR(HLOOKUP(F247,Fee_Tiers!$B$1:$E$2,2,FALSE),"Fee tier not found")</f>
        <v/>
      </c>
      <c r="N247" s="8">
        <f>SUMIFS(Daily_Merchant!$C$2:$C$444,Daily_Merchant!$A$2:$A$444,C247,Daily_Merchant!$B$2:$B$444,L247)</f>
        <v/>
      </c>
      <c r="O247" s="2">
        <f>IF(AND(N247&gt;5000,K247&lt;&gt;"East"),"High-Value Merchant Day","")</f>
        <v/>
      </c>
    </row>
    <row r="248">
      <c r="A248" s="2" t="inlineStr">
        <is>
          <t>TXN100246</t>
        </is>
      </c>
      <c r="B248" s="2" t="n">
        <v>269</v>
      </c>
      <c r="C248" s="2" t="n">
        <v>34</v>
      </c>
      <c r="D248" s="12" t="n">
        <v>46045.60277777778</v>
      </c>
      <c r="E248" s="8" t="n">
        <v>149</v>
      </c>
      <c r="F248" s="2" t="inlineStr">
        <is>
          <t>UPI</t>
        </is>
      </c>
      <c r="G248" s="2" t="inlineStr">
        <is>
          <t>captured</t>
        </is>
      </c>
      <c r="H248" s="2" t="n">
        <v>78</v>
      </c>
      <c r="I248" s="2">
        <f>IFERROR(VLOOKUP(C248,Merchants!$A$2:$D$41,2,FALSE),"Merchant not found")</f>
        <v/>
      </c>
      <c r="J248" s="2">
        <f>IFERROR(VLOOKUP(C248,Merchants!$A$2:$D$41,3,FALSE),"Merchant not found")</f>
        <v/>
      </c>
      <c r="K248" s="2">
        <f>IFERROR(VLOOKUP(C248,Merchants!$A$2:$D$41,4,FALSE),"Merchant not found")</f>
        <v/>
      </c>
      <c r="L248" s="7">
        <f>DATE(YEAR(D248),MONTH(D248),DAY(D248))</f>
        <v/>
      </c>
      <c r="M248" s="5">
        <f>IFERROR(HLOOKUP(F248,Fee_Tiers!$B$1:$E$2,2,FALSE),"Fee tier not found")</f>
        <v/>
      </c>
      <c r="N248" s="8">
        <f>SUMIFS(Daily_Merchant!$C$2:$C$444,Daily_Merchant!$A$2:$A$444,C248,Daily_Merchant!$B$2:$B$444,L248)</f>
        <v/>
      </c>
      <c r="O248" s="2">
        <f>IF(AND(N248&gt;5000,K248&lt;&gt;"East"),"High-Value Merchant Day","")</f>
        <v/>
      </c>
    </row>
    <row r="249">
      <c r="A249" s="2" t="inlineStr">
        <is>
          <t>TXN100247</t>
        </is>
      </c>
      <c r="B249" s="2" t="n">
        <v>145</v>
      </c>
      <c r="C249" s="2" t="n">
        <v>25</v>
      </c>
      <c r="D249" s="12" t="n">
        <v>46028.47430555556</v>
      </c>
      <c r="E249" s="8" t="n">
        <v>799</v>
      </c>
      <c r="F249" s="2" t="inlineStr">
        <is>
          <t>UPI</t>
        </is>
      </c>
      <c r="G249" s="2" t="inlineStr">
        <is>
          <t>captured</t>
        </is>
      </c>
      <c r="H249" s="2" t="n">
        <v>52</v>
      </c>
      <c r="I249" s="2">
        <f>IFERROR(VLOOKUP(C249,Merchants!$A$2:$D$41,2,FALSE),"Merchant not found")</f>
        <v/>
      </c>
      <c r="J249" s="2">
        <f>IFERROR(VLOOKUP(C249,Merchants!$A$2:$D$41,3,FALSE),"Merchant not found")</f>
        <v/>
      </c>
      <c r="K249" s="2">
        <f>IFERROR(VLOOKUP(C249,Merchants!$A$2:$D$41,4,FALSE),"Merchant not found")</f>
        <v/>
      </c>
      <c r="L249" s="7">
        <f>DATE(YEAR(D249),MONTH(D249),DAY(D249))</f>
        <v/>
      </c>
      <c r="M249" s="5">
        <f>IFERROR(HLOOKUP(F249,Fee_Tiers!$B$1:$E$2,2,FALSE),"Fee tier not found")</f>
        <v/>
      </c>
      <c r="N249" s="8">
        <f>SUMIFS(Daily_Merchant!$C$2:$C$444,Daily_Merchant!$A$2:$A$444,C249,Daily_Merchant!$B$2:$B$444,L249)</f>
        <v/>
      </c>
      <c r="O249" s="2">
        <f>IF(AND(N249&gt;5000,K249&lt;&gt;"East"),"High-Value Merchant Day","")</f>
        <v/>
      </c>
    </row>
    <row r="250">
      <c r="A250" s="2" t="inlineStr">
        <is>
          <t>TXN100248</t>
        </is>
      </c>
      <c r="B250" s="2" t="n">
        <v>307</v>
      </c>
      <c r="C250" s="2" t="n">
        <v>4</v>
      </c>
      <c r="D250" s="12" t="n">
        <v>46047.44652777778</v>
      </c>
      <c r="E250" s="8" t="n">
        <v>1499</v>
      </c>
      <c r="F250" s="2" t="inlineStr">
        <is>
          <t>UPI</t>
        </is>
      </c>
      <c r="G250" s="2" t="inlineStr">
        <is>
          <t>captured</t>
        </is>
      </c>
      <c r="H250" s="2" t="n">
        <v>80</v>
      </c>
      <c r="I250" s="2">
        <f>IFERROR(VLOOKUP(C250,Merchants!$A$2:$D$41,2,FALSE),"Merchant not found")</f>
        <v/>
      </c>
      <c r="J250" s="2">
        <f>IFERROR(VLOOKUP(C250,Merchants!$A$2:$D$41,3,FALSE),"Merchant not found")</f>
        <v/>
      </c>
      <c r="K250" s="2">
        <f>IFERROR(VLOOKUP(C250,Merchants!$A$2:$D$41,4,FALSE),"Merchant not found")</f>
        <v/>
      </c>
      <c r="L250" s="7">
        <f>DATE(YEAR(D250),MONTH(D250),DAY(D250))</f>
        <v/>
      </c>
      <c r="M250" s="5">
        <f>IFERROR(HLOOKUP(F250,Fee_Tiers!$B$1:$E$2,2,FALSE),"Fee tier not found")</f>
        <v/>
      </c>
      <c r="N250" s="8">
        <f>SUMIFS(Daily_Merchant!$C$2:$C$444,Daily_Merchant!$A$2:$A$444,C250,Daily_Merchant!$B$2:$B$444,L250)</f>
        <v/>
      </c>
      <c r="O250" s="2">
        <f>IF(AND(N250&gt;5000,K250&lt;&gt;"East"),"High-Value Merchant Day","")</f>
        <v/>
      </c>
    </row>
    <row r="251">
      <c r="A251" s="2" t="inlineStr">
        <is>
          <t>TXN100249</t>
        </is>
      </c>
      <c r="B251" s="2" t="n">
        <v>169</v>
      </c>
      <c r="C251" s="2" t="n">
        <v>7</v>
      </c>
      <c r="D251" s="12" t="n">
        <v>46043.41944444444</v>
      </c>
      <c r="E251" s="8" t="n">
        <v>1499</v>
      </c>
      <c r="F251" s="2" t="inlineStr">
        <is>
          <t>Wallet</t>
        </is>
      </c>
      <c r="G251" s="2" t="inlineStr">
        <is>
          <t>captured</t>
        </is>
      </c>
      <c r="H251" s="2" t="n">
        <v>71</v>
      </c>
      <c r="I251" s="2">
        <f>IFERROR(VLOOKUP(C251,Merchants!$A$2:$D$41,2,FALSE),"Merchant not found")</f>
        <v/>
      </c>
      <c r="J251" s="2">
        <f>IFERROR(VLOOKUP(C251,Merchants!$A$2:$D$41,3,FALSE),"Merchant not found")</f>
        <v/>
      </c>
      <c r="K251" s="2">
        <f>IFERROR(VLOOKUP(C251,Merchants!$A$2:$D$41,4,FALSE),"Merchant not found")</f>
        <v/>
      </c>
      <c r="L251" s="7">
        <f>DATE(YEAR(D251),MONTH(D251),DAY(D251))</f>
        <v/>
      </c>
      <c r="M251" s="5">
        <f>IFERROR(HLOOKUP(F251,Fee_Tiers!$B$1:$E$2,2,FALSE),"Fee tier not found")</f>
        <v/>
      </c>
      <c r="N251" s="8">
        <f>SUMIFS(Daily_Merchant!$C$2:$C$444,Daily_Merchant!$A$2:$A$444,C251,Daily_Merchant!$B$2:$B$444,L251)</f>
        <v/>
      </c>
      <c r="O251" s="2">
        <f>IF(AND(N251&gt;5000,K251&lt;&gt;"East"),"High-Value Merchant Day","")</f>
        <v/>
      </c>
    </row>
    <row r="252">
      <c r="A252" s="2" t="inlineStr">
        <is>
          <t>TXN100250</t>
        </is>
      </c>
      <c r="B252" s="2" t="n">
        <v>130</v>
      </c>
      <c r="C252" s="2" t="n">
        <v>39</v>
      </c>
      <c r="D252" s="12" t="n">
        <v>46044.5125</v>
      </c>
      <c r="E252" s="8" t="n">
        <v>2999</v>
      </c>
      <c r="F252" s="2" t="inlineStr">
        <is>
          <t>Wallet</t>
        </is>
      </c>
      <c r="G252" s="2" t="inlineStr">
        <is>
          <t>captured</t>
        </is>
      </c>
      <c r="H252" s="2" t="n">
        <v>19</v>
      </c>
      <c r="I252" s="2">
        <f>IFERROR(VLOOKUP(C252,Merchants!$A$2:$D$41,2,FALSE),"Merchant not found")</f>
        <v/>
      </c>
      <c r="J252" s="2">
        <f>IFERROR(VLOOKUP(C252,Merchants!$A$2:$D$41,3,FALSE),"Merchant not found")</f>
        <v/>
      </c>
      <c r="K252" s="2">
        <f>IFERROR(VLOOKUP(C252,Merchants!$A$2:$D$41,4,FALSE),"Merchant not found")</f>
        <v/>
      </c>
      <c r="L252" s="7">
        <f>DATE(YEAR(D252),MONTH(D252),DAY(D252))</f>
        <v/>
      </c>
      <c r="M252" s="5">
        <f>IFERROR(HLOOKUP(F252,Fee_Tiers!$B$1:$E$2,2,FALSE),"Fee tier not found")</f>
        <v/>
      </c>
      <c r="N252" s="8">
        <f>SUMIFS(Daily_Merchant!$C$2:$C$444,Daily_Merchant!$A$2:$A$444,C252,Daily_Merchant!$B$2:$B$444,L252)</f>
        <v/>
      </c>
      <c r="O252" s="2">
        <f>IF(AND(N252&gt;5000,K252&lt;&gt;"East"),"High-Value Merchant Day","")</f>
        <v/>
      </c>
    </row>
    <row r="253">
      <c r="A253" s="2" t="inlineStr">
        <is>
          <t>TXN100251</t>
        </is>
      </c>
      <c r="B253" s="2" t="n">
        <v>340</v>
      </c>
      <c r="C253" s="2" t="n">
        <v>10</v>
      </c>
      <c r="D253" s="12" t="n">
        <v>46033.10902777778</v>
      </c>
      <c r="E253" s="8" t="n">
        <v>49</v>
      </c>
      <c r="F253" s="2" t="inlineStr">
        <is>
          <t>Card</t>
        </is>
      </c>
      <c r="G253" s="2" t="inlineStr">
        <is>
          <t>captured</t>
        </is>
      </c>
      <c r="H253" s="2" t="n">
        <v>44</v>
      </c>
      <c r="I253" s="2">
        <f>IFERROR(VLOOKUP(C253,Merchants!$A$2:$D$41,2,FALSE),"Merchant not found")</f>
        <v/>
      </c>
      <c r="J253" s="2">
        <f>IFERROR(VLOOKUP(C253,Merchants!$A$2:$D$41,3,FALSE),"Merchant not found")</f>
        <v/>
      </c>
      <c r="K253" s="2">
        <f>IFERROR(VLOOKUP(C253,Merchants!$A$2:$D$41,4,FALSE),"Merchant not found")</f>
        <v/>
      </c>
      <c r="L253" s="7">
        <f>DATE(YEAR(D253),MONTH(D253),DAY(D253))</f>
        <v/>
      </c>
      <c r="M253" s="5">
        <f>IFERROR(HLOOKUP(F253,Fee_Tiers!$B$1:$E$2,2,FALSE),"Fee tier not found")</f>
        <v/>
      </c>
      <c r="N253" s="8">
        <f>SUMIFS(Daily_Merchant!$C$2:$C$444,Daily_Merchant!$A$2:$A$444,C253,Daily_Merchant!$B$2:$B$444,L253)</f>
        <v/>
      </c>
      <c r="O253" s="2">
        <f>IF(AND(N253&gt;5000,K253&lt;&gt;"East"),"High-Value Merchant Day","")</f>
        <v/>
      </c>
    </row>
    <row r="254">
      <c r="A254" s="2" t="inlineStr">
        <is>
          <t>TXN100252</t>
        </is>
      </c>
      <c r="B254" s="2" t="n">
        <v>340</v>
      </c>
      <c r="C254" s="2" t="n">
        <v>26</v>
      </c>
      <c r="D254" s="12" t="n">
        <v>46032.86388888889</v>
      </c>
      <c r="E254" s="8" t="n">
        <v>299</v>
      </c>
      <c r="F254" s="2" t="inlineStr">
        <is>
          <t>Card</t>
        </is>
      </c>
      <c r="G254" s="2" t="inlineStr">
        <is>
          <t>captured</t>
        </is>
      </c>
      <c r="H254" s="2" t="n">
        <v>16</v>
      </c>
      <c r="I254" s="2">
        <f>IFERROR(VLOOKUP(C254,Merchants!$A$2:$D$41,2,FALSE),"Merchant not found")</f>
        <v/>
      </c>
      <c r="J254" s="2">
        <f>IFERROR(VLOOKUP(C254,Merchants!$A$2:$D$41,3,FALSE),"Merchant not found")</f>
        <v/>
      </c>
      <c r="K254" s="2">
        <f>IFERROR(VLOOKUP(C254,Merchants!$A$2:$D$41,4,FALSE),"Merchant not found")</f>
        <v/>
      </c>
      <c r="L254" s="7">
        <f>DATE(YEAR(D254),MONTH(D254),DAY(D254))</f>
        <v/>
      </c>
      <c r="M254" s="5">
        <f>IFERROR(HLOOKUP(F254,Fee_Tiers!$B$1:$E$2,2,FALSE),"Fee tier not found")</f>
        <v/>
      </c>
      <c r="N254" s="8">
        <f>SUMIFS(Daily_Merchant!$C$2:$C$444,Daily_Merchant!$A$2:$A$444,C254,Daily_Merchant!$B$2:$B$444,L254)</f>
        <v/>
      </c>
      <c r="O254" s="2">
        <f>IF(AND(N254&gt;5000,K254&lt;&gt;"East"),"High-Value Merchant Day","")</f>
        <v/>
      </c>
    </row>
    <row r="255">
      <c r="A255" s="2" t="inlineStr">
        <is>
          <t>TXN100253</t>
        </is>
      </c>
      <c r="B255" s="2" t="n">
        <v>159</v>
      </c>
      <c r="C255" s="2" t="n">
        <v>36</v>
      </c>
      <c r="D255" s="12" t="n">
        <v>46042.92013888889</v>
      </c>
      <c r="E255" s="8" t="n">
        <v>49</v>
      </c>
      <c r="F255" s="2" t="inlineStr">
        <is>
          <t>UPI</t>
        </is>
      </c>
      <c r="G255" s="2" t="inlineStr">
        <is>
          <t>captured</t>
        </is>
      </c>
      <c r="H255" s="2" t="n">
        <v>48</v>
      </c>
      <c r="I255" s="2">
        <f>IFERROR(VLOOKUP(C255,Merchants!$A$2:$D$41,2,FALSE),"Merchant not found")</f>
        <v/>
      </c>
      <c r="J255" s="2">
        <f>IFERROR(VLOOKUP(C255,Merchants!$A$2:$D$41,3,FALSE),"Merchant not found")</f>
        <v/>
      </c>
      <c r="K255" s="2">
        <f>IFERROR(VLOOKUP(C255,Merchants!$A$2:$D$41,4,FALSE),"Merchant not found")</f>
        <v/>
      </c>
      <c r="L255" s="7">
        <f>DATE(YEAR(D255),MONTH(D255),DAY(D255))</f>
        <v/>
      </c>
      <c r="M255" s="5">
        <f>IFERROR(HLOOKUP(F255,Fee_Tiers!$B$1:$E$2,2,FALSE),"Fee tier not found")</f>
        <v/>
      </c>
      <c r="N255" s="8">
        <f>SUMIFS(Daily_Merchant!$C$2:$C$444,Daily_Merchant!$A$2:$A$444,C255,Daily_Merchant!$B$2:$B$444,L255)</f>
        <v/>
      </c>
      <c r="O255" s="2">
        <f>IF(AND(N255&gt;5000,K255&lt;&gt;"East"),"High-Value Merchant Day","")</f>
        <v/>
      </c>
    </row>
    <row r="256">
      <c r="A256" s="2" t="inlineStr">
        <is>
          <t>TXN100254</t>
        </is>
      </c>
      <c r="B256" s="2" t="n">
        <v>66</v>
      </c>
      <c r="C256" s="2" t="n">
        <v>34</v>
      </c>
      <c r="D256" s="12" t="n">
        <v>46043.45277777778</v>
      </c>
      <c r="E256" s="8" t="n">
        <v>799</v>
      </c>
      <c r="F256" s="2" t="inlineStr">
        <is>
          <t>UPI</t>
        </is>
      </c>
      <c r="G256" s="2" t="inlineStr">
        <is>
          <t>captured</t>
        </is>
      </c>
      <c r="H256" s="2" t="n">
        <v>11</v>
      </c>
      <c r="I256" s="2">
        <f>IFERROR(VLOOKUP(C256,Merchants!$A$2:$D$41,2,FALSE),"Merchant not found")</f>
        <v/>
      </c>
      <c r="J256" s="2">
        <f>IFERROR(VLOOKUP(C256,Merchants!$A$2:$D$41,3,FALSE),"Merchant not found")</f>
        <v/>
      </c>
      <c r="K256" s="2">
        <f>IFERROR(VLOOKUP(C256,Merchants!$A$2:$D$41,4,FALSE),"Merchant not found")</f>
        <v/>
      </c>
      <c r="L256" s="7">
        <f>DATE(YEAR(D256),MONTH(D256),DAY(D256))</f>
        <v/>
      </c>
      <c r="M256" s="5">
        <f>IFERROR(HLOOKUP(F256,Fee_Tiers!$B$1:$E$2,2,FALSE),"Fee tier not found")</f>
        <v/>
      </c>
      <c r="N256" s="8">
        <f>SUMIFS(Daily_Merchant!$C$2:$C$444,Daily_Merchant!$A$2:$A$444,C256,Daily_Merchant!$B$2:$B$444,L256)</f>
        <v/>
      </c>
      <c r="O256" s="2">
        <f>IF(AND(N256&gt;5000,K256&lt;&gt;"East"),"High-Value Merchant Day","")</f>
        <v/>
      </c>
    </row>
    <row r="257">
      <c r="A257" s="2" t="inlineStr">
        <is>
          <t>TXN100255</t>
        </is>
      </c>
      <c r="B257" s="2" t="n">
        <v>261</v>
      </c>
      <c r="C257" s="2" t="n">
        <v>24</v>
      </c>
      <c r="D257" s="12" t="n">
        <v>46043.89375</v>
      </c>
      <c r="E257" s="8" t="n">
        <v>799</v>
      </c>
      <c r="F257" s="2" t="inlineStr">
        <is>
          <t>Card</t>
        </is>
      </c>
      <c r="G257" s="2" t="inlineStr">
        <is>
          <t>captured</t>
        </is>
      </c>
      <c r="H257" s="2" t="n">
        <v>2</v>
      </c>
      <c r="I257" s="2">
        <f>IFERROR(VLOOKUP(C257,Merchants!$A$2:$D$41,2,FALSE),"Merchant not found")</f>
        <v/>
      </c>
      <c r="J257" s="2">
        <f>IFERROR(VLOOKUP(C257,Merchants!$A$2:$D$41,3,FALSE),"Merchant not found")</f>
        <v/>
      </c>
      <c r="K257" s="2">
        <f>IFERROR(VLOOKUP(C257,Merchants!$A$2:$D$41,4,FALSE),"Merchant not found")</f>
        <v/>
      </c>
      <c r="L257" s="7">
        <f>DATE(YEAR(D257),MONTH(D257),DAY(D257))</f>
        <v/>
      </c>
      <c r="M257" s="5">
        <f>IFERROR(HLOOKUP(F257,Fee_Tiers!$B$1:$E$2,2,FALSE),"Fee tier not found")</f>
        <v/>
      </c>
      <c r="N257" s="8">
        <f>SUMIFS(Daily_Merchant!$C$2:$C$444,Daily_Merchant!$A$2:$A$444,C257,Daily_Merchant!$B$2:$B$444,L257)</f>
        <v/>
      </c>
      <c r="O257" s="2">
        <f>IF(AND(N257&gt;5000,K257&lt;&gt;"East"),"High-Value Merchant Day","")</f>
        <v/>
      </c>
    </row>
    <row r="258">
      <c r="A258" s="2" t="inlineStr">
        <is>
          <t>TXN100256</t>
        </is>
      </c>
      <c r="B258" s="2" t="n">
        <v>110</v>
      </c>
      <c r="C258" s="2" t="n">
        <v>22</v>
      </c>
      <c r="D258" s="12" t="n">
        <v>46034.38263888889</v>
      </c>
      <c r="E258" s="8" t="n">
        <v>799</v>
      </c>
      <c r="F258" s="2" t="inlineStr">
        <is>
          <t>UPI</t>
        </is>
      </c>
      <c r="G258" s="2" t="inlineStr">
        <is>
          <t>captured</t>
        </is>
      </c>
      <c r="H258" s="2" t="n">
        <v>98</v>
      </c>
      <c r="I258" s="2">
        <f>IFERROR(VLOOKUP(C258,Merchants!$A$2:$D$41,2,FALSE),"Merchant not found")</f>
        <v/>
      </c>
      <c r="J258" s="2">
        <f>IFERROR(VLOOKUP(C258,Merchants!$A$2:$D$41,3,FALSE),"Merchant not found")</f>
        <v/>
      </c>
      <c r="K258" s="2">
        <f>IFERROR(VLOOKUP(C258,Merchants!$A$2:$D$41,4,FALSE),"Merchant not found")</f>
        <v/>
      </c>
      <c r="L258" s="7">
        <f>DATE(YEAR(D258),MONTH(D258),DAY(D258))</f>
        <v/>
      </c>
      <c r="M258" s="5">
        <f>IFERROR(HLOOKUP(F258,Fee_Tiers!$B$1:$E$2,2,FALSE),"Fee tier not found")</f>
        <v/>
      </c>
      <c r="N258" s="8">
        <f>SUMIFS(Daily_Merchant!$C$2:$C$444,Daily_Merchant!$A$2:$A$444,C258,Daily_Merchant!$B$2:$B$444,L258)</f>
        <v/>
      </c>
      <c r="O258" s="2">
        <f>IF(AND(N258&gt;5000,K258&lt;&gt;"East"),"High-Value Merchant Day","")</f>
        <v/>
      </c>
    </row>
    <row r="259">
      <c r="A259" s="2" t="inlineStr">
        <is>
          <t>TXN100257</t>
        </is>
      </c>
      <c r="B259" s="2" t="n">
        <v>71</v>
      </c>
      <c r="C259" s="2" t="n">
        <v>10</v>
      </c>
      <c r="D259" s="12" t="n">
        <v>46038.25972222222</v>
      </c>
      <c r="E259" s="8" t="n">
        <v>49</v>
      </c>
      <c r="F259" s="2" t="inlineStr">
        <is>
          <t>UPI</t>
        </is>
      </c>
      <c r="G259" s="2" t="inlineStr">
        <is>
          <t>captured</t>
        </is>
      </c>
      <c r="H259" s="2" t="n">
        <v>9</v>
      </c>
      <c r="I259" s="2">
        <f>IFERROR(VLOOKUP(C259,Merchants!$A$2:$D$41,2,FALSE),"Merchant not found")</f>
        <v/>
      </c>
      <c r="J259" s="2">
        <f>IFERROR(VLOOKUP(C259,Merchants!$A$2:$D$41,3,FALSE),"Merchant not found")</f>
        <v/>
      </c>
      <c r="K259" s="2">
        <f>IFERROR(VLOOKUP(C259,Merchants!$A$2:$D$41,4,FALSE),"Merchant not found")</f>
        <v/>
      </c>
      <c r="L259" s="7">
        <f>DATE(YEAR(D259),MONTH(D259),DAY(D259))</f>
        <v/>
      </c>
      <c r="M259" s="5">
        <f>IFERROR(HLOOKUP(F259,Fee_Tiers!$B$1:$E$2,2,FALSE),"Fee tier not found")</f>
        <v/>
      </c>
      <c r="N259" s="8">
        <f>SUMIFS(Daily_Merchant!$C$2:$C$444,Daily_Merchant!$A$2:$A$444,C259,Daily_Merchant!$B$2:$B$444,L259)</f>
        <v/>
      </c>
      <c r="O259" s="2">
        <f>IF(AND(N259&gt;5000,K259&lt;&gt;"East"),"High-Value Merchant Day","")</f>
        <v/>
      </c>
    </row>
    <row r="260">
      <c r="A260" s="2" t="inlineStr">
        <is>
          <t>TXN100258</t>
        </is>
      </c>
      <c r="B260" s="2" t="n">
        <v>277</v>
      </c>
      <c r="C260" s="2" t="n">
        <v>34</v>
      </c>
      <c r="D260" s="12" t="n">
        <v>46032.14722222222</v>
      </c>
      <c r="E260" s="8" t="n">
        <v>49</v>
      </c>
      <c r="F260" s="2" t="inlineStr">
        <is>
          <t>UPI</t>
        </is>
      </c>
      <c r="G260" s="2" t="inlineStr">
        <is>
          <t>captured</t>
        </is>
      </c>
      <c r="H260" s="2" t="n">
        <v>4</v>
      </c>
      <c r="I260" s="2">
        <f>IFERROR(VLOOKUP(C260,Merchants!$A$2:$D$41,2,FALSE),"Merchant not found")</f>
        <v/>
      </c>
      <c r="J260" s="2">
        <f>IFERROR(VLOOKUP(C260,Merchants!$A$2:$D$41,3,FALSE),"Merchant not found")</f>
        <v/>
      </c>
      <c r="K260" s="2">
        <f>IFERROR(VLOOKUP(C260,Merchants!$A$2:$D$41,4,FALSE),"Merchant not found")</f>
        <v/>
      </c>
      <c r="L260" s="7">
        <f>DATE(YEAR(D260),MONTH(D260),DAY(D260))</f>
        <v/>
      </c>
      <c r="M260" s="5">
        <f>IFERROR(HLOOKUP(F260,Fee_Tiers!$B$1:$E$2,2,FALSE),"Fee tier not found")</f>
        <v/>
      </c>
      <c r="N260" s="8">
        <f>SUMIFS(Daily_Merchant!$C$2:$C$444,Daily_Merchant!$A$2:$A$444,C260,Daily_Merchant!$B$2:$B$444,L260)</f>
        <v/>
      </c>
      <c r="O260" s="2">
        <f>IF(AND(N260&gt;5000,K260&lt;&gt;"East"),"High-Value Merchant Day","")</f>
        <v/>
      </c>
    </row>
    <row r="261">
      <c r="A261" s="2" t="inlineStr">
        <is>
          <t>TXN100259</t>
        </is>
      </c>
      <c r="B261" s="2" t="n">
        <v>317</v>
      </c>
      <c r="C261" s="2" t="n">
        <v>9</v>
      </c>
      <c r="D261" s="12" t="n">
        <v>46044.45555555556</v>
      </c>
      <c r="E261" s="8" t="n">
        <v>499</v>
      </c>
      <c r="F261" s="2" t="inlineStr">
        <is>
          <t>Wallet</t>
        </is>
      </c>
      <c r="G261" s="2" t="inlineStr">
        <is>
          <t>captured</t>
        </is>
      </c>
      <c r="H261" s="2" t="n">
        <v>76</v>
      </c>
      <c r="I261" s="2">
        <f>IFERROR(VLOOKUP(C261,Merchants!$A$2:$D$41,2,FALSE),"Merchant not found")</f>
        <v/>
      </c>
      <c r="J261" s="2">
        <f>IFERROR(VLOOKUP(C261,Merchants!$A$2:$D$41,3,FALSE),"Merchant not found")</f>
        <v/>
      </c>
      <c r="K261" s="2">
        <f>IFERROR(VLOOKUP(C261,Merchants!$A$2:$D$41,4,FALSE),"Merchant not found")</f>
        <v/>
      </c>
      <c r="L261" s="7">
        <f>DATE(YEAR(D261),MONTH(D261),DAY(D261))</f>
        <v/>
      </c>
      <c r="M261" s="5">
        <f>IFERROR(HLOOKUP(F261,Fee_Tiers!$B$1:$E$2,2,FALSE),"Fee tier not found")</f>
        <v/>
      </c>
      <c r="N261" s="8">
        <f>SUMIFS(Daily_Merchant!$C$2:$C$444,Daily_Merchant!$A$2:$A$444,C261,Daily_Merchant!$B$2:$B$444,L261)</f>
        <v/>
      </c>
      <c r="O261" s="2">
        <f>IF(AND(N261&gt;5000,K261&lt;&gt;"East"),"High-Value Merchant Day","")</f>
        <v/>
      </c>
    </row>
    <row r="262">
      <c r="A262" s="2" t="inlineStr">
        <is>
          <t>TXN100260</t>
        </is>
      </c>
      <c r="B262" s="2" t="n">
        <v>93</v>
      </c>
      <c r="C262" s="2" t="n">
        <v>40</v>
      </c>
      <c r="D262" s="12" t="n">
        <v>46035.17361111111</v>
      </c>
      <c r="E262" s="8" t="n">
        <v>299</v>
      </c>
      <c r="F262" s="2" t="inlineStr">
        <is>
          <t>UPI</t>
        </is>
      </c>
      <c r="G262" s="2" t="inlineStr">
        <is>
          <t>captured</t>
        </is>
      </c>
      <c r="H262" s="2" t="n">
        <v>21</v>
      </c>
      <c r="I262" s="2">
        <f>IFERROR(VLOOKUP(C262,Merchants!$A$2:$D$41,2,FALSE),"Merchant not found")</f>
        <v/>
      </c>
      <c r="J262" s="2">
        <f>IFERROR(VLOOKUP(C262,Merchants!$A$2:$D$41,3,FALSE),"Merchant not found")</f>
        <v/>
      </c>
      <c r="K262" s="2">
        <f>IFERROR(VLOOKUP(C262,Merchants!$A$2:$D$41,4,FALSE),"Merchant not found")</f>
        <v/>
      </c>
      <c r="L262" s="7">
        <f>DATE(YEAR(D262),MONTH(D262),DAY(D262))</f>
        <v/>
      </c>
      <c r="M262" s="5">
        <f>IFERROR(HLOOKUP(F262,Fee_Tiers!$B$1:$E$2,2,FALSE),"Fee tier not found")</f>
        <v/>
      </c>
      <c r="N262" s="8">
        <f>SUMIFS(Daily_Merchant!$C$2:$C$444,Daily_Merchant!$A$2:$A$444,C262,Daily_Merchant!$B$2:$B$444,L262)</f>
        <v/>
      </c>
      <c r="O262" s="2">
        <f>IF(AND(N262&gt;5000,K262&lt;&gt;"East"),"High-Value Merchant Day","")</f>
        <v/>
      </c>
    </row>
    <row r="263">
      <c r="A263" s="2" t="inlineStr">
        <is>
          <t>TXN100261</t>
        </is>
      </c>
      <c r="B263" s="2" t="n">
        <v>211</v>
      </c>
      <c r="C263" s="2" t="n">
        <v>24</v>
      </c>
      <c r="D263" s="12" t="n">
        <v>46046.58472222222</v>
      </c>
      <c r="E263" s="8" t="n">
        <v>99</v>
      </c>
      <c r="F263" s="2" t="inlineStr">
        <is>
          <t>Netbanking</t>
        </is>
      </c>
      <c r="G263" s="2" t="inlineStr">
        <is>
          <t>captured</t>
        </is>
      </c>
      <c r="H263" s="2" t="n">
        <v>86</v>
      </c>
      <c r="I263" s="2">
        <f>IFERROR(VLOOKUP(C263,Merchants!$A$2:$D$41,2,FALSE),"Merchant not found")</f>
        <v/>
      </c>
      <c r="J263" s="2">
        <f>IFERROR(VLOOKUP(C263,Merchants!$A$2:$D$41,3,FALSE),"Merchant not found")</f>
        <v/>
      </c>
      <c r="K263" s="2">
        <f>IFERROR(VLOOKUP(C263,Merchants!$A$2:$D$41,4,FALSE),"Merchant not found")</f>
        <v/>
      </c>
      <c r="L263" s="7">
        <f>DATE(YEAR(D263),MONTH(D263),DAY(D263))</f>
        <v/>
      </c>
      <c r="M263" s="5">
        <f>IFERROR(HLOOKUP(F263,Fee_Tiers!$B$1:$E$2,2,FALSE),"Fee tier not found")</f>
        <v/>
      </c>
      <c r="N263" s="8">
        <f>SUMIFS(Daily_Merchant!$C$2:$C$444,Daily_Merchant!$A$2:$A$444,C263,Daily_Merchant!$B$2:$B$444,L263)</f>
        <v/>
      </c>
      <c r="O263" s="2">
        <f>IF(AND(N263&gt;5000,K263&lt;&gt;"East"),"High-Value Merchant Day","")</f>
        <v/>
      </c>
    </row>
    <row r="264">
      <c r="A264" s="2" t="inlineStr">
        <is>
          <t>TXN100262</t>
        </is>
      </c>
      <c r="B264" s="2" t="n">
        <v>313</v>
      </c>
      <c r="C264" s="2" t="n">
        <v>19</v>
      </c>
      <c r="D264" s="12" t="n">
        <v>46046.31111111111</v>
      </c>
      <c r="E264" s="8" t="n">
        <v>149</v>
      </c>
      <c r="F264" s="2" t="inlineStr">
        <is>
          <t>UPI</t>
        </is>
      </c>
      <c r="G264" s="2" t="inlineStr">
        <is>
          <t>captured</t>
        </is>
      </c>
      <c r="H264" s="2" t="n">
        <v>96</v>
      </c>
      <c r="I264" s="2">
        <f>IFERROR(VLOOKUP(C264,Merchants!$A$2:$D$41,2,FALSE),"Merchant not found")</f>
        <v/>
      </c>
      <c r="J264" s="2">
        <f>IFERROR(VLOOKUP(C264,Merchants!$A$2:$D$41,3,FALSE),"Merchant not found")</f>
        <v/>
      </c>
      <c r="K264" s="2">
        <f>IFERROR(VLOOKUP(C264,Merchants!$A$2:$D$41,4,FALSE),"Merchant not found")</f>
        <v/>
      </c>
      <c r="L264" s="7">
        <f>DATE(YEAR(D264),MONTH(D264),DAY(D264))</f>
        <v/>
      </c>
      <c r="M264" s="5">
        <f>IFERROR(HLOOKUP(F264,Fee_Tiers!$B$1:$E$2,2,FALSE),"Fee tier not found")</f>
        <v/>
      </c>
      <c r="N264" s="8">
        <f>SUMIFS(Daily_Merchant!$C$2:$C$444,Daily_Merchant!$A$2:$A$444,C264,Daily_Merchant!$B$2:$B$444,L264)</f>
        <v/>
      </c>
      <c r="O264" s="2">
        <f>IF(AND(N264&gt;5000,K264&lt;&gt;"East"),"High-Value Merchant Day","")</f>
        <v/>
      </c>
    </row>
    <row r="265">
      <c r="A265" s="2" t="inlineStr">
        <is>
          <t>TXN100263</t>
        </is>
      </c>
      <c r="B265" s="2" t="n">
        <v>274</v>
      </c>
      <c r="C265" s="2" t="n">
        <v>16</v>
      </c>
      <c r="D265" s="12" t="n">
        <v>46046.59305555555</v>
      </c>
      <c r="E265" s="8" t="n">
        <v>49</v>
      </c>
      <c r="F265" s="2" t="inlineStr">
        <is>
          <t>Wallet</t>
        </is>
      </c>
      <c r="G265" s="2" t="inlineStr">
        <is>
          <t>failed</t>
        </is>
      </c>
      <c r="H265" s="2" t="n">
        <v>39</v>
      </c>
      <c r="I265" s="2">
        <f>IFERROR(VLOOKUP(C265,Merchants!$A$2:$D$41,2,FALSE),"Merchant not found")</f>
        <v/>
      </c>
      <c r="J265" s="2">
        <f>IFERROR(VLOOKUP(C265,Merchants!$A$2:$D$41,3,FALSE),"Merchant not found")</f>
        <v/>
      </c>
      <c r="K265" s="2">
        <f>IFERROR(VLOOKUP(C265,Merchants!$A$2:$D$41,4,FALSE),"Merchant not found")</f>
        <v/>
      </c>
      <c r="L265" s="7">
        <f>DATE(YEAR(D265),MONTH(D265),DAY(D265))</f>
        <v/>
      </c>
      <c r="M265" s="5">
        <f>IFERROR(HLOOKUP(F265,Fee_Tiers!$B$1:$E$2,2,FALSE),"Fee tier not found")</f>
        <v/>
      </c>
      <c r="N265" s="8">
        <f>SUMIFS(Daily_Merchant!$C$2:$C$444,Daily_Merchant!$A$2:$A$444,C265,Daily_Merchant!$B$2:$B$444,L265)</f>
        <v/>
      </c>
      <c r="O265" s="2">
        <f>IF(AND(N265&gt;5000,K265&lt;&gt;"East"),"High-Value Merchant Day","")</f>
        <v/>
      </c>
    </row>
    <row r="266">
      <c r="A266" s="2" t="inlineStr">
        <is>
          <t>TXN100264</t>
        </is>
      </c>
      <c r="B266" s="2" t="n">
        <v>100</v>
      </c>
      <c r="C266" s="2" t="n">
        <v>24</v>
      </c>
      <c r="D266" s="12" t="n">
        <v>46048.66458333333</v>
      </c>
      <c r="E266" s="8" t="n">
        <v>299</v>
      </c>
      <c r="F266" s="2" t="inlineStr">
        <is>
          <t>UPI</t>
        </is>
      </c>
      <c r="G266" s="2" t="inlineStr">
        <is>
          <t>captured</t>
        </is>
      </c>
      <c r="H266" s="2" t="n">
        <v>86</v>
      </c>
      <c r="I266" s="2">
        <f>IFERROR(VLOOKUP(C266,Merchants!$A$2:$D$41,2,FALSE),"Merchant not found")</f>
        <v/>
      </c>
      <c r="J266" s="2">
        <f>IFERROR(VLOOKUP(C266,Merchants!$A$2:$D$41,3,FALSE),"Merchant not found")</f>
        <v/>
      </c>
      <c r="K266" s="2">
        <f>IFERROR(VLOOKUP(C266,Merchants!$A$2:$D$41,4,FALSE),"Merchant not found")</f>
        <v/>
      </c>
      <c r="L266" s="7">
        <f>DATE(YEAR(D266),MONTH(D266),DAY(D266))</f>
        <v/>
      </c>
      <c r="M266" s="5">
        <f>IFERROR(HLOOKUP(F266,Fee_Tiers!$B$1:$E$2,2,FALSE),"Fee tier not found")</f>
        <v/>
      </c>
      <c r="N266" s="8">
        <f>SUMIFS(Daily_Merchant!$C$2:$C$444,Daily_Merchant!$A$2:$A$444,C266,Daily_Merchant!$B$2:$B$444,L266)</f>
        <v/>
      </c>
      <c r="O266" s="2">
        <f>IF(AND(N266&gt;5000,K266&lt;&gt;"East"),"High-Value Merchant Day","")</f>
        <v/>
      </c>
    </row>
    <row r="267">
      <c r="A267" s="2" t="inlineStr">
        <is>
          <t>TXN100265</t>
        </is>
      </c>
      <c r="B267" s="2" t="n">
        <v>145</v>
      </c>
      <c r="C267" s="2" t="n">
        <v>25</v>
      </c>
      <c r="D267" s="12" t="n">
        <v>46041.60347222222</v>
      </c>
      <c r="E267" s="8" t="n">
        <v>2999</v>
      </c>
      <c r="F267" s="2" t="inlineStr">
        <is>
          <t>Wallet</t>
        </is>
      </c>
      <c r="G267" s="2" t="inlineStr">
        <is>
          <t>captured</t>
        </is>
      </c>
      <c r="H267" s="2" t="n">
        <v>64</v>
      </c>
      <c r="I267" s="2">
        <f>IFERROR(VLOOKUP(C267,Merchants!$A$2:$D$41,2,FALSE),"Merchant not found")</f>
        <v/>
      </c>
      <c r="J267" s="2">
        <f>IFERROR(VLOOKUP(C267,Merchants!$A$2:$D$41,3,FALSE),"Merchant not found")</f>
        <v/>
      </c>
      <c r="K267" s="2">
        <f>IFERROR(VLOOKUP(C267,Merchants!$A$2:$D$41,4,FALSE),"Merchant not found")</f>
        <v/>
      </c>
      <c r="L267" s="7">
        <f>DATE(YEAR(D267),MONTH(D267),DAY(D267))</f>
        <v/>
      </c>
      <c r="M267" s="5">
        <f>IFERROR(HLOOKUP(F267,Fee_Tiers!$B$1:$E$2,2,FALSE),"Fee tier not found")</f>
        <v/>
      </c>
      <c r="N267" s="8">
        <f>SUMIFS(Daily_Merchant!$C$2:$C$444,Daily_Merchant!$A$2:$A$444,C267,Daily_Merchant!$B$2:$B$444,L267)</f>
        <v/>
      </c>
      <c r="O267" s="2">
        <f>IF(AND(N267&gt;5000,K267&lt;&gt;"East"),"High-Value Merchant Day","")</f>
        <v/>
      </c>
    </row>
    <row r="268">
      <c r="A268" s="2" t="inlineStr">
        <is>
          <t>TXN100266</t>
        </is>
      </c>
      <c r="B268" s="2" t="n">
        <v>103</v>
      </c>
      <c r="C268" s="2" t="n">
        <v>39</v>
      </c>
      <c r="D268" s="12" t="n">
        <v>46039.54861111111</v>
      </c>
      <c r="E268" s="8" t="n">
        <v>2999</v>
      </c>
      <c r="F268" s="2" t="inlineStr">
        <is>
          <t>Wallet</t>
        </is>
      </c>
      <c r="G268" s="2" t="inlineStr">
        <is>
          <t>captured</t>
        </is>
      </c>
      <c r="H268" s="2" t="n">
        <v>17</v>
      </c>
      <c r="I268" s="2">
        <f>IFERROR(VLOOKUP(C268,Merchants!$A$2:$D$41,2,FALSE),"Merchant not found")</f>
        <v/>
      </c>
      <c r="J268" s="2">
        <f>IFERROR(VLOOKUP(C268,Merchants!$A$2:$D$41,3,FALSE),"Merchant not found")</f>
        <v/>
      </c>
      <c r="K268" s="2">
        <f>IFERROR(VLOOKUP(C268,Merchants!$A$2:$D$41,4,FALSE),"Merchant not found")</f>
        <v/>
      </c>
      <c r="L268" s="7">
        <f>DATE(YEAR(D268),MONTH(D268),DAY(D268))</f>
        <v/>
      </c>
      <c r="M268" s="5">
        <f>IFERROR(HLOOKUP(F268,Fee_Tiers!$B$1:$E$2,2,FALSE),"Fee tier not found")</f>
        <v/>
      </c>
      <c r="N268" s="8">
        <f>SUMIFS(Daily_Merchant!$C$2:$C$444,Daily_Merchant!$A$2:$A$444,C268,Daily_Merchant!$B$2:$B$444,L268)</f>
        <v/>
      </c>
      <c r="O268" s="2">
        <f>IF(AND(N268&gt;5000,K268&lt;&gt;"East"),"High-Value Merchant Day","")</f>
        <v/>
      </c>
    </row>
    <row r="269">
      <c r="A269" s="2" t="inlineStr">
        <is>
          <t>TXN100267</t>
        </is>
      </c>
      <c r="B269" s="2" t="n">
        <v>329</v>
      </c>
      <c r="C269" s="2" t="n">
        <v>31</v>
      </c>
      <c r="D269" s="12" t="n">
        <v>46050.33541666667</v>
      </c>
      <c r="E269" s="8" t="n">
        <v>299</v>
      </c>
      <c r="F269" s="2" t="inlineStr">
        <is>
          <t>Wallet</t>
        </is>
      </c>
      <c r="G269" s="2" t="inlineStr">
        <is>
          <t>captured</t>
        </is>
      </c>
      <c r="H269" s="2" t="n">
        <v>47</v>
      </c>
      <c r="I269" s="2">
        <f>IFERROR(VLOOKUP(C269,Merchants!$A$2:$D$41,2,FALSE),"Merchant not found")</f>
        <v/>
      </c>
      <c r="J269" s="2">
        <f>IFERROR(VLOOKUP(C269,Merchants!$A$2:$D$41,3,FALSE),"Merchant not found")</f>
        <v/>
      </c>
      <c r="K269" s="2">
        <f>IFERROR(VLOOKUP(C269,Merchants!$A$2:$D$41,4,FALSE),"Merchant not found")</f>
        <v/>
      </c>
      <c r="L269" s="7">
        <f>DATE(YEAR(D269),MONTH(D269),DAY(D269))</f>
        <v/>
      </c>
      <c r="M269" s="5">
        <f>IFERROR(HLOOKUP(F269,Fee_Tiers!$B$1:$E$2,2,FALSE),"Fee tier not found")</f>
        <v/>
      </c>
      <c r="N269" s="8">
        <f>SUMIFS(Daily_Merchant!$C$2:$C$444,Daily_Merchant!$A$2:$A$444,C269,Daily_Merchant!$B$2:$B$444,L269)</f>
        <v/>
      </c>
      <c r="O269" s="2">
        <f>IF(AND(N269&gt;5000,K269&lt;&gt;"East"),"High-Value Merchant Day","")</f>
        <v/>
      </c>
    </row>
    <row r="270">
      <c r="A270" s="2" t="inlineStr">
        <is>
          <t>TXN100268</t>
        </is>
      </c>
      <c r="B270" s="2" t="n">
        <v>265</v>
      </c>
      <c r="C270" s="2" t="n">
        <v>8</v>
      </c>
      <c r="D270" s="12" t="n">
        <v>46040.15625</v>
      </c>
      <c r="E270" s="8" t="n">
        <v>499</v>
      </c>
      <c r="F270" s="2" t="inlineStr">
        <is>
          <t>Netbanking</t>
        </is>
      </c>
      <c r="G270" s="2" t="inlineStr">
        <is>
          <t>captured</t>
        </is>
      </c>
      <c r="H270" s="2" t="n">
        <v>36</v>
      </c>
      <c r="I270" s="2">
        <f>IFERROR(VLOOKUP(C270,Merchants!$A$2:$D$41,2,FALSE),"Merchant not found")</f>
        <v/>
      </c>
      <c r="J270" s="2">
        <f>IFERROR(VLOOKUP(C270,Merchants!$A$2:$D$41,3,FALSE),"Merchant not found")</f>
        <v/>
      </c>
      <c r="K270" s="2">
        <f>IFERROR(VLOOKUP(C270,Merchants!$A$2:$D$41,4,FALSE),"Merchant not found")</f>
        <v/>
      </c>
      <c r="L270" s="7">
        <f>DATE(YEAR(D270),MONTH(D270),DAY(D270))</f>
        <v/>
      </c>
      <c r="M270" s="5">
        <f>IFERROR(HLOOKUP(F270,Fee_Tiers!$B$1:$E$2,2,FALSE),"Fee tier not found")</f>
        <v/>
      </c>
      <c r="N270" s="8">
        <f>SUMIFS(Daily_Merchant!$C$2:$C$444,Daily_Merchant!$A$2:$A$444,C270,Daily_Merchant!$B$2:$B$444,L270)</f>
        <v/>
      </c>
      <c r="O270" s="2">
        <f>IF(AND(N270&gt;5000,K270&lt;&gt;"East"),"High-Value Merchant Day","")</f>
        <v/>
      </c>
    </row>
    <row r="271">
      <c r="A271" s="2" t="inlineStr">
        <is>
          <t>TXN100269</t>
        </is>
      </c>
      <c r="B271" s="2" t="n">
        <v>231</v>
      </c>
      <c r="C271" s="2" t="n">
        <v>33</v>
      </c>
      <c r="D271" s="12" t="n">
        <v>46025.22013888889</v>
      </c>
      <c r="E271" s="8" t="n">
        <v>149</v>
      </c>
      <c r="F271" s="2" t="inlineStr">
        <is>
          <t>UPI</t>
        </is>
      </c>
      <c r="G271" s="2" t="inlineStr">
        <is>
          <t>failed</t>
        </is>
      </c>
      <c r="H271" s="2" t="n">
        <v>18</v>
      </c>
      <c r="I271" s="2">
        <f>IFERROR(VLOOKUP(C271,Merchants!$A$2:$D$41,2,FALSE),"Merchant not found")</f>
        <v/>
      </c>
      <c r="J271" s="2">
        <f>IFERROR(VLOOKUP(C271,Merchants!$A$2:$D$41,3,FALSE),"Merchant not found")</f>
        <v/>
      </c>
      <c r="K271" s="2">
        <f>IFERROR(VLOOKUP(C271,Merchants!$A$2:$D$41,4,FALSE),"Merchant not found")</f>
        <v/>
      </c>
      <c r="L271" s="7">
        <f>DATE(YEAR(D271),MONTH(D271),DAY(D271))</f>
        <v/>
      </c>
      <c r="M271" s="5">
        <f>IFERROR(HLOOKUP(F271,Fee_Tiers!$B$1:$E$2,2,FALSE),"Fee tier not found")</f>
        <v/>
      </c>
      <c r="N271" s="8">
        <f>SUMIFS(Daily_Merchant!$C$2:$C$444,Daily_Merchant!$A$2:$A$444,C271,Daily_Merchant!$B$2:$B$444,L271)</f>
        <v/>
      </c>
      <c r="O271" s="2">
        <f>IF(AND(N271&gt;5000,K271&lt;&gt;"East"),"High-Value Merchant Day","")</f>
        <v/>
      </c>
    </row>
    <row r="272">
      <c r="A272" s="2" t="inlineStr">
        <is>
          <t>TXN100270</t>
        </is>
      </c>
      <c r="B272" s="2" t="n">
        <v>114</v>
      </c>
      <c r="C272" s="2" t="n">
        <v>29</v>
      </c>
      <c r="D272" s="12" t="n">
        <v>46049.54513888889</v>
      </c>
      <c r="E272" s="8" t="n">
        <v>799</v>
      </c>
      <c r="F272" s="2" t="inlineStr">
        <is>
          <t>UPI</t>
        </is>
      </c>
      <c r="G272" s="2" t="inlineStr">
        <is>
          <t>chargeback</t>
        </is>
      </c>
      <c r="H272" s="2" t="n">
        <v>44</v>
      </c>
      <c r="I272" s="2">
        <f>IFERROR(VLOOKUP(C272,Merchants!$A$2:$D$41,2,FALSE),"Merchant not found")</f>
        <v/>
      </c>
      <c r="J272" s="2">
        <f>IFERROR(VLOOKUP(C272,Merchants!$A$2:$D$41,3,FALSE),"Merchant not found")</f>
        <v/>
      </c>
      <c r="K272" s="2">
        <f>IFERROR(VLOOKUP(C272,Merchants!$A$2:$D$41,4,FALSE),"Merchant not found")</f>
        <v/>
      </c>
      <c r="L272" s="7">
        <f>DATE(YEAR(D272),MONTH(D272),DAY(D272))</f>
        <v/>
      </c>
      <c r="M272" s="5">
        <f>IFERROR(HLOOKUP(F272,Fee_Tiers!$B$1:$E$2,2,FALSE),"Fee tier not found")</f>
        <v/>
      </c>
      <c r="N272" s="8">
        <f>SUMIFS(Daily_Merchant!$C$2:$C$444,Daily_Merchant!$A$2:$A$444,C272,Daily_Merchant!$B$2:$B$444,L272)</f>
        <v/>
      </c>
      <c r="O272" s="2">
        <f>IF(AND(N272&gt;5000,K272&lt;&gt;"East"),"High-Value Merchant Day","")</f>
        <v/>
      </c>
    </row>
    <row r="273">
      <c r="A273" s="2" t="inlineStr">
        <is>
          <t>TXN100271</t>
        </is>
      </c>
      <c r="B273" s="2" t="n">
        <v>28</v>
      </c>
      <c r="C273" s="2" t="n">
        <v>26</v>
      </c>
      <c r="D273" s="12" t="n">
        <v>46052.01805555556</v>
      </c>
      <c r="E273" s="8" t="n">
        <v>1499</v>
      </c>
      <c r="F273" s="2" t="inlineStr">
        <is>
          <t>UPI</t>
        </is>
      </c>
      <c r="G273" s="2" t="inlineStr">
        <is>
          <t>failed</t>
        </is>
      </c>
      <c r="H273" s="2" t="n">
        <v>64</v>
      </c>
      <c r="I273" s="2">
        <f>IFERROR(VLOOKUP(C273,Merchants!$A$2:$D$41,2,FALSE),"Merchant not found")</f>
        <v/>
      </c>
      <c r="J273" s="2">
        <f>IFERROR(VLOOKUP(C273,Merchants!$A$2:$D$41,3,FALSE),"Merchant not found")</f>
        <v/>
      </c>
      <c r="K273" s="2">
        <f>IFERROR(VLOOKUP(C273,Merchants!$A$2:$D$41,4,FALSE),"Merchant not found")</f>
        <v/>
      </c>
      <c r="L273" s="7">
        <f>DATE(YEAR(D273),MONTH(D273),DAY(D273))</f>
        <v/>
      </c>
      <c r="M273" s="5">
        <f>IFERROR(HLOOKUP(F273,Fee_Tiers!$B$1:$E$2,2,FALSE),"Fee tier not found")</f>
        <v/>
      </c>
      <c r="N273" s="8">
        <f>SUMIFS(Daily_Merchant!$C$2:$C$444,Daily_Merchant!$A$2:$A$444,C273,Daily_Merchant!$B$2:$B$444,L273)</f>
        <v/>
      </c>
      <c r="O273" s="2">
        <f>IF(AND(N273&gt;5000,K273&lt;&gt;"East"),"High-Value Merchant Day","")</f>
        <v/>
      </c>
    </row>
    <row r="274">
      <c r="A274" s="2" t="inlineStr">
        <is>
          <t>TXN100272</t>
        </is>
      </c>
      <c r="B274" s="2" t="n">
        <v>42</v>
      </c>
      <c r="C274" s="2" t="n">
        <v>24</v>
      </c>
      <c r="D274" s="12" t="n">
        <v>46034.30833333333</v>
      </c>
      <c r="E274" s="8" t="n">
        <v>149</v>
      </c>
      <c r="F274" s="2" t="inlineStr">
        <is>
          <t>UPI</t>
        </is>
      </c>
      <c r="G274" s="2" t="inlineStr">
        <is>
          <t>captured</t>
        </is>
      </c>
      <c r="H274" s="2" t="n">
        <v>28</v>
      </c>
      <c r="I274" s="2">
        <f>IFERROR(VLOOKUP(C274,Merchants!$A$2:$D$41,2,FALSE),"Merchant not found")</f>
        <v/>
      </c>
      <c r="J274" s="2">
        <f>IFERROR(VLOOKUP(C274,Merchants!$A$2:$D$41,3,FALSE),"Merchant not found")</f>
        <v/>
      </c>
      <c r="K274" s="2">
        <f>IFERROR(VLOOKUP(C274,Merchants!$A$2:$D$41,4,FALSE),"Merchant not found")</f>
        <v/>
      </c>
      <c r="L274" s="7">
        <f>DATE(YEAR(D274),MONTH(D274),DAY(D274))</f>
        <v/>
      </c>
      <c r="M274" s="5">
        <f>IFERROR(HLOOKUP(F274,Fee_Tiers!$B$1:$E$2,2,FALSE),"Fee tier not found")</f>
        <v/>
      </c>
      <c r="N274" s="8">
        <f>SUMIFS(Daily_Merchant!$C$2:$C$444,Daily_Merchant!$A$2:$A$444,C274,Daily_Merchant!$B$2:$B$444,L274)</f>
        <v/>
      </c>
      <c r="O274" s="2">
        <f>IF(AND(N274&gt;5000,K274&lt;&gt;"East"),"High-Value Merchant Day","")</f>
        <v/>
      </c>
    </row>
    <row r="275">
      <c r="A275" s="2" t="inlineStr">
        <is>
          <t>TXN100273</t>
        </is>
      </c>
      <c r="B275" s="2" t="n">
        <v>51</v>
      </c>
      <c r="C275" s="2" t="n">
        <v>22</v>
      </c>
      <c r="D275" s="12" t="n">
        <v>46023.45763888889</v>
      </c>
      <c r="E275" s="8" t="n">
        <v>799</v>
      </c>
      <c r="F275" s="2" t="inlineStr">
        <is>
          <t>UPI</t>
        </is>
      </c>
      <c r="G275" s="2" t="inlineStr">
        <is>
          <t>captured</t>
        </is>
      </c>
      <c r="H275" s="2" t="n">
        <v>18</v>
      </c>
      <c r="I275" s="2">
        <f>IFERROR(VLOOKUP(C275,Merchants!$A$2:$D$41,2,FALSE),"Merchant not found")</f>
        <v/>
      </c>
      <c r="J275" s="2">
        <f>IFERROR(VLOOKUP(C275,Merchants!$A$2:$D$41,3,FALSE),"Merchant not found")</f>
        <v/>
      </c>
      <c r="K275" s="2">
        <f>IFERROR(VLOOKUP(C275,Merchants!$A$2:$D$41,4,FALSE),"Merchant not found")</f>
        <v/>
      </c>
      <c r="L275" s="7">
        <f>DATE(YEAR(D275),MONTH(D275),DAY(D275))</f>
        <v/>
      </c>
      <c r="M275" s="5">
        <f>IFERROR(HLOOKUP(F275,Fee_Tiers!$B$1:$E$2,2,FALSE),"Fee tier not found")</f>
        <v/>
      </c>
      <c r="N275" s="8">
        <f>SUMIFS(Daily_Merchant!$C$2:$C$444,Daily_Merchant!$A$2:$A$444,C275,Daily_Merchant!$B$2:$B$444,L275)</f>
        <v/>
      </c>
      <c r="O275" s="2">
        <f>IF(AND(N275&gt;5000,K275&lt;&gt;"East"),"High-Value Merchant Day","")</f>
        <v/>
      </c>
    </row>
    <row r="276">
      <c r="A276" s="2" t="inlineStr">
        <is>
          <t>TXN100274</t>
        </is>
      </c>
      <c r="B276" s="2" t="n">
        <v>242</v>
      </c>
      <c r="C276" s="2" t="n">
        <v>9</v>
      </c>
      <c r="D276" s="12" t="n">
        <v>46027.05416666667</v>
      </c>
      <c r="E276" s="8" t="n">
        <v>149</v>
      </c>
      <c r="F276" s="2" t="inlineStr">
        <is>
          <t>UPI</t>
        </is>
      </c>
      <c r="G276" s="2" t="inlineStr">
        <is>
          <t>captured</t>
        </is>
      </c>
      <c r="H276" s="2" t="n">
        <v>97</v>
      </c>
      <c r="I276" s="2">
        <f>IFERROR(VLOOKUP(C276,Merchants!$A$2:$D$41,2,FALSE),"Merchant not found")</f>
        <v/>
      </c>
      <c r="J276" s="2">
        <f>IFERROR(VLOOKUP(C276,Merchants!$A$2:$D$41,3,FALSE),"Merchant not found")</f>
        <v/>
      </c>
      <c r="K276" s="2">
        <f>IFERROR(VLOOKUP(C276,Merchants!$A$2:$D$41,4,FALSE),"Merchant not found")</f>
        <v/>
      </c>
      <c r="L276" s="7">
        <f>DATE(YEAR(D276),MONTH(D276),DAY(D276))</f>
        <v/>
      </c>
      <c r="M276" s="5">
        <f>IFERROR(HLOOKUP(F276,Fee_Tiers!$B$1:$E$2,2,FALSE),"Fee tier not found")</f>
        <v/>
      </c>
      <c r="N276" s="8">
        <f>SUMIFS(Daily_Merchant!$C$2:$C$444,Daily_Merchant!$A$2:$A$444,C276,Daily_Merchant!$B$2:$B$444,L276)</f>
        <v/>
      </c>
      <c r="O276" s="2">
        <f>IF(AND(N276&gt;5000,K276&lt;&gt;"East"),"High-Value Merchant Day","")</f>
        <v/>
      </c>
    </row>
    <row r="277">
      <c r="A277" s="2" t="inlineStr">
        <is>
          <t>TXN100275</t>
        </is>
      </c>
      <c r="B277" s="2" t="n">
        <v>316</v>
      </c>
      <c r="C277" s="2" t="n">
        <v>1</v>
      </c>
      <c r="D277" s="12" t="n">
        <v>46045.64444444444</v>
      </c>
      <c r="E277" s="8" t="n">
        <v>149</v>
      </c>
      <c r="F277" s="2" t="inlineStr">
        <is>
          <t>UPI</t>
        </is>
      </c>
      <c r="G277" s="2" t="inlineStr">
        <is>
          <t>captured</t>
        </is>
      </c>
      <c r="H277" s="2" t="n">
        <v>10</v>
      </c>
      <c r="I277" s="2">
        <f>IFERROR(VLOOKUP(C277,Merchants!$A$2:$D$41,2,FALSE),"Merchant not found")</f>
        <v/>
      </c>
      <c r="J277" s="2">
        <f>IFERROR(VLOOKUP(C277,Merchants!$A$2:$D$41,3,FALSE),"Merchant not found")</f>
        <v/>
      </c>
      <c r="K277" s="2">
        <f>IFERROR(VLOOKUP(C277,Merchants!$A$2:$D$41,4,FALSE),"Merchant not found")</f>
        <v/>
      </c>
      <c r="L277" s="7">
        <f>DATE(YEAR(D277),MONTH(D277),DAY(D277))</f>
        <v/>
      </c>
      <c r="M277" s="5">
        <f>IFERROR(HLOOKUP(F277,Fee_Tiers!$B$1:$E$2,2,FALSE),"Fee tier not found")</f>
        <v/>
      </c>
      <c r="N277" s="8">
        <f>SUMIFS(Daily_Merchant!$C$2:$C$444,Daily_Merchant!$A$2:$A$444,C277,Daily_Merchant!$B$2:$B$444,L277)</f>
        <v/>
      </c>
      <c r="O277" s="2">
        <f>IF(AND(N277&gt;5000,K277&lt;&gt;"East"),"High-Value Merchant Day","")</f>
        <v/>
      </c>
    </row>
    <row r="278">
      <c r="A278" s="2" t="inlineStr">
        <is>
          <t>TXN100276</t>
        </is>
      </c>
      <c r="B278" s="2" t="n">
        <v>77</v>
      </c>
      <c r="C278" s="2" t="n">
        <v>36</v>
      </c>
      <c r="D278" s="12" t="n">
        <v>46023.34236111111</v>
      </c>
      <c r="E278" s="8" t="n">
        <v>149</v>
      </c>
      <c r="F278" s="2" t="inlineStr">
        <is>
          <t>UPI</t>
        </is>
      </c>
      <c r="G278" s="2" t="inlineStr">
        <is>
          <t>captured</t>
        </is>
      </c>
      <c r="H278" s="2" t="n">
        <v>93</v>
      </c>
      <c r="I278" s="2">
        <f>IFERROR(VLOOKUP(C278,Merchants!$A$2:$D$41,2,FALSE),"Merchant not found")</f>
        <v/>
      </c>
      <c r="J278" s="2">
        <f>IFERROR(VLOOKUP(C278,Merchants!$A$2:$D$41,3,FALSE),"Merchant not found")</f>
        <v/>
      </c>
      <c r="K278" s="2">
        <f>IFERROR(VLOOKUP(C278,Merchants!$A$2:$D$41,4,FALSE),"Merchant not found")</f>
        <v/>
      </c>
      <c r="L278" s="7">
        <f>DATE(YEAR(D278),MONTH(D278),DAY(D278))</f>
        <v/>
      </c>
      <c r="M278" s="5">
        <f>IFERROR(HLOOKUP(F278,Fee_Tiers!$B$1:$E$2,2,FALSE),"Fee tier not found")</f>
        <v/>
      </c>
      <c r="N278" s="8">
        <f>SUMIFS(Daily_Merchant!$C$2:$C$444,Daily_Merchant!$A$2:$A$444,C278,Daily_Merchant!$B$2:$B$444,L278)</f>
        <v/>
      </c>
      <c r="O278" s="2">
        <f>IF(AND(N278&gt;5000,K278&lt;&gt;"East"),"High-Value Merchant Day","")</f>
        <v/>
      </c>
    </row>
    <row r="279">
      <c r="A279" s="2" t="inlineStr">
        <is>
          <t>TXN100277</t>
        </is>
      </c>
      <c r="B279" s="2" t="n">
        <v>57</v>
      </c>
      <c r="C279" s="2" t="n">
        <v>19</v>
      </c>
      <c r="D279" s="12" t="n">
        <v>46042.68541666667</v>
      </c>
      <c r="E279" s="8" t="n">
        <v>49</v>
      </c>
      <c r="F279" s="2" t="inlineStr">
        <is>
          <t>UPI</t>
        </is>
      </c>
      <c r="G279" s="2" t="inlineStr">
        <is>
          <t>captured</t>
        </is>
      </c>
      <c r="H279" s="2" t="n">
        <v>30</v>
      </c>
      <c r="I279" s="2">
        <f>IFERROR(VLOOKUP(C279,Merchants!$A$2:$D$41,2,FALSE),"Merchant not found")</f>
        <v/>
      </c>
      <c r="J279" s="2">
        <f>IFERROR(VLOOKUP(C279,Merchants!$A$2:$D$41,3,FALSE),"Merchant not found")</f>
        <v/>
      </c>
      <c r="K279" s="2">
        <f>IFERROR(VLOOKUP(C279,Merchants!$A$2:$D$41,4,FALSE),"Merchant not found")</f>
        <v/>
      </c>
      <c r="L279" s="7">
        <f>DATE(YEAR(D279),MONTH(D279),DAY(D279))</f>
        <v/>
      </c>
      <c r="M279" s="5">
        <f>IFERROR(HLOOKUP(F279,Fee_Tiers!$B$1:$E$2,2,FALSE),"Fee tier not found")</f>
        <v/>
      </c>
      <c r="N279" s="8">
        <f>SUMIFS(Daily_Merchant!$C$2:$C$444,Daily_Merchant!$A$2:$A$444,C279,Daily_Merchant!$B$2:$B$444,L279)</f>
        <v/>
      </c>
      <c r="O279" s="2">
        <f>IF(AND(N279&gt;5000,K279&lt;&gt;"East"),"High-Value Merchant Day","")</f>
        <v/>
      </c>
    </row>
    <row r="280">
      <c r="A280" s="2" t="inlineStr">
        <is>
          <t>TXN100278</t>
        </is>
      </c>
      <c r="B280" s="2" t="n">
        <v>123</v>
      </c>
      <c r="C280" s="2" t="n">
        <v>27</v>
      </c>
      <c r="D280" s="12" t="n">
        <v>46032.12708333333</v>
      </c>
      <c r="E280" s="8" t="n">
        <v>149</v>
      </c>
      <c r="F280" s="2" t="inlineStr">
        <is>
          <t>Netbanking</t>
        </is>
      </c>
      <c r="G280" s="2" t="inlineStr">
        <is>
          <t>captured</t>
        </is>
      </c>
      <c r="H280" s="2" t="n">
        <v>81</v>
      </c>
      <c r="I280" s="2">
        <f>IFERROR(VLOOKUP(C280,Merchants!$A$2:$D$41,2,FALSE),"Merchant not found")</f>
        <v/>
      </c>
      <c r="J280" s="2">
        <f>IFERROR(VLOOKUP(C280,Merchants!$A$2:$D$41,3,FALSE),"Merchant not found")</f>
        <v/>
      </c>
      <c r="K280" s="2">
        <f>IFERROR(VLOOKUP(C280,Merchants!$A$2:$D$41,4,FALSE),"Merchant not found")</f>
        <v/>
      </c>
      <c r="L280" s="7">
        <f>DATE(YEAR(D280),MONTH(D280),DAY(D280))</f>
        <v/>
      </c>
      <c r="M280" s="5">
        <f>IFERROR(HLOOKUP(F280,Fee_Tiers!$B$1:$E$2,2,FALSE),"Fee tier not found")</f>
        <v/>
      </c>
      <c r="N280" s="8">
        <f>SUMIFS(Daily_Merchant!$C$2:$C$444,Daily_Merchant!$A$2:$A$444,C280,Daily_Merchant!$B$2:$B$444,L280)</f>
        <v/>
      </c>
      <c r="O280" s="2">
        <f>IF(AND(N280&gt;5000,K280&lt;&gt;"East"),"High-Value Merchant Day","")</f>
        <v/>
      </c>
    </row>
    <row r="281">
      <c r="A281" s="2" t="inlineStr">
        <is>
          <t>TXN100279</t>
        </is>
      </c>
      <c r="B281" s="2" t="n">
        <v>33</v>
      </c>
      <c r="C281" s="2" t="n">
        <v>8</v>
      </c>
      <c r="D281" s="12" t="n">
        <v>46048.81180555555</v>
      </c>
      <c r="E281" s="8" t="n">
        <v>299</v>
      </c>
      <c r="F281" s="2" t="inlineStr">
        <is>
          <t>Wallet</t>
        </is>
      </c>
      <c r="G281" s="2" t="inlineStr">
        <is>
          <t>captured</t>
        </is>
      </c>
      <c r="H281" s="2" t="n">
        <v>63</v>
      </c>
      <c r="I281" s="2">
        <f>IFERROR(VLOOKUP(C281,Merchants!$A$2:$D$41,2,FALSE),"Merchant not found")</f>
        <v/>
      </c>
      <c r="J281" s="2">
        <f>IFERROR(VLOOKUP(C281,Merchants!$A$2:$D$41,3,FALSE),"Merchant not found")</f>
        <v/>
      </c>
      <c r="K281" s="2">
        <f>IFERROR(VLOOKUP(C281,Merchants!$A$2:$D$41,4,FALSE),"Merchant not found")</f>
        <v/>
      </c>
      <c r="L281" s="7">
        <f>DATE(YEAR(D281),MONTH(D281),DAY(D281))</f>
        <v/>
      </c>
      <c r="M281" s="5">
        <f>IFERROR(HLOOKUP(F281,Fee_Tiers!$B$1:$E$2,2,FALSE),"Fee tier not found")</f>
        <v/>
      </c>
      <c r="N281" s="8">
        <f>SUMIFS(Daily_Merchant!$C$2:$C$444,Daily_Merchant!$A$2:$A$444,C281,Daily_Merchant!$B$2:$B$444,L281)</f>
        <v/>
      </c>
      <c r="O281" s="2">
        <f>IF(AND(N281&gt;5000,K281&lt;&gt;"East"),"High-Value Merchant Day","")</f>
        <v/>
      </c>
    </row>
    <row r="282">
      <c r="A282" s="2" t="inlineStr">
        <is>
          <t>TXN100280</t>
        </is>
      </c>
      <c r="B282" s="2" t="n">
        <v>324</v>
      </c>
      <c r="C282" s="2" t="n">
        <v>33</v>
      </c>
      <c r="D282" s="12" t="n">
        <v>46042.70902777778</v>
      </c>
      <c r="E282" s="8" t="n">
        <v>499</v>
      </c>
      <c r="F282" s="2" t="inlineStr">
        <is>
          <t>UPI</t>
        </is>
      </c>
      <c r="G282" s="2" t="inlineStr">
        <is>
          <t>captured</t>
        </is>
      </c>
      <c r="H282" s="2" t="n">
        <v>73</v>
      </c>
      <c r="I282" s="2">
        <f>IFERROR(VLOOKUP(C282,Merchants!$A$2:$D$41,2,FALSE),"Merchant not found")</f>
        <v/>
      </c>
      <c r="J282" s="2">
        <f>IFERROR(VLOOKUP(C282,Merchants!$A$2:$D$41,3,FALSE),"Merchant not found")</f>
        <v/>
      </c>
      <c r="K282" s="2">
        <f>IFERROR(VLOOKUP(C282,Merchants!$A$2:$D$41,4,FALSE),"Merchant not found")</f>
        <v/>
      </c>
      <c r="L282" s="7">
        <f>DATE(YEAR(D282),MONTH(D282),DAY(D282))</f>
        <v/>
      </c>
      <c r="M282" s="5">
        <f>IFERROR(HLOOKUP(F282,Fee_Tiers!$B$1:$E$2,2,FALSE),"Fee tier not found")</f>
        <v/>
      </c>
      <c r="N282" s="8">
        <f>SUMIFS(Daily_Merchant!$C$2:$C$444,Daily_Merchant!$A$2:$A$444,C282,Daily_Merchant!$B$2:$B$444,L282)</f>
        <v/>
      </c>
      <c r="O282" s="2">
        <f>IF(AND(N282&gt;5000,K282&lt;&gt;"East"),"High-Value Merchant Day","")</f>
        <v/>
      </c>
    </row>
    <row r="283">
      <c r="A283" s="2" t="inlineStr">
        <is>
          <t>TXN100281</t>
        </is>
      </c>
      <c r="B283" s="2" t="n">
        <v>150</v>
      </c>
      <c r="C283" s="2" t="n">
        <v>28</v>
      </c>
      <c r="D283" s="12" t="n">
        <v>46030.92291666667</v>
      </c>
      <c r="E283" s="8" t="n">
        <v>49</v>
      </c>
      <c r="F283" s="2" t="inlineStr">
        <is>
          <t>UPI</t>
        </is>
      </c>
      <c r="G283" s="2" t="inlineStr">
        <is>
          <t>failed</t>
        </is>
      </c>
      <c r="H283" s="2" t="n">
        <v>0</v>
      </c>
      <c r="I283" s="2">
        <f>IFERROR(VLOOKUP(C283,Merchants!$A$2:$D$41,2,FALSE),"Merchant not found")</f>
        <v/>
      </c>
      <c r="J283" s="2">
        <f>IFERROR(VLOOKUP(C283,Merchants!$A$2:$D$41,3,FALSE),"Merchant not found")</f>
        <v/>
      </c>
      <c r="K283" s="2">
        <f>IFERROR(VLOOKUP(C283,Merchants!$A$2:$D$41,4,FALSE),"Merchant not found")</f>
        <v/>
      </c>
      <c r="L283" s="7">
        <f>DATE(YEAR(D283),MONTH(D283),DAY(D283))</f>
        <v/>
      </c>
      <c r="M283" s="5">
        <f>IFERROR(HLOOKUP(F283,Fee_Tiers!$B$1:$E$2,2,FALSE),"Fee tier not found")</f>
        <v/>
      </c>
      <c r="N283" s="8">
        <f>SUMIFS(Daily_Merchant!$C$2:$C$444,Daily_Merchant!$A$2:$A$444,C283,Daily_Merchant!$B$2:$B$444,L283)</f>
        <v/>
      </c>
      <c r="O283" s="2">
        <f>IF(AND(N283&gt;5000,K283&lt;&gt;"East"),"High-Value Merchant Day","")</f>
        <v/>
      </c>
    </row>
    <row r="284">
      <c r="A284" s="2" t="inlineStr">
        <is>
          <t>TXN100282</t>
        </is>
      </c>
      <c r="B284" s="2" t="n">
        <v>293</v>
      </c>
      <c r="C284" s="2" t="n">
        <v>27</v>
      </c>
      <c r="D284" s="12" t="n">
        <v>46042.46875</v>
      </c>
      <c r="E284" s="8" t="n">
        <v>4999</v>
      </c>
      <c r="F284" s="2" t="inlineStr">
        <is>
          <t>UPI</t>
        </is>
      </c>
      <c r="G284" s="2" t="inlineStr">
        <is>
          <t>captured</t>
        </is>
      </c>
      <c r="H284" s="2" t="n">
        <v>23</v>
      </c>
      <c r="I284" s="2">
        <f>IFERROR(VLOOKUP(C284,Merchants!$A$2:$D$41,2,FALSE),"Merchant not found")</f>
        <v/>
      </c>
      <c r="J284" s="2">
        <f>IFERROR(VLOOKUP(C284,Merchants!$A$2:$D$41,3,FALSE),"Merchant not found")</f>
        <v/>
      </c>
      <c r="K284" s="2">
        <f>IFERROR(VLOOKUP(C284,Merchants!$A$2:$D$41,4,FALSE),"Merchant not found")</f>
        <v/>
      </c>
      <c r="L284" s="7">
        <f>DATE(YEAR(D284),MONTH(D284),DAY(D284))</f>
        <v/>
      </c>
      <c r="M284" s="5">
        <f>IFERROR(HLOOKUP(F284,Fee_Tiers!$B$1:$E$2,2,FALSE),"Fee tier not found")</f>
        <v/>
      </c>
      <c r="N284" s="8">
        <f>SUMIFS(Daily_Merchant!$C$2:$C$444,Daily_Merchant!$A$2:$A$444,C284,Daily_Merchant!$B$2:$B$444,L284)</f>
        <v/>
      </c>
      <c r="O284" s="2">
        <f>IF(AND(N284&gt;5000,K284&lt;&gt;"East"),"High-Value Merchant Day","")</f>
        <v/>
      </c>
    </row>
    <row r="285">
      <c r="A285" s="2" t="inlineStr">
        <is>
          <t>TXN100283</t>
        </is>
      </c>
      <c r="B285" s="2" t="n">
        <v>269</v>
      </c>
      <c r="C285" s="2" t="n">
        <v>24</v>
      </c>
      <c r="D285" s="12" t="n">
        <v>46044.87847222222</v>
      </c>
      <c r="E285" s="8" t="n">
        <v>49</v>
      </c>
      <c r="F285" s="2" t="inlineStr">
        <is>
          <t>Wallet</t>
        </is>
      </c>
      <c r="G285" s="2" t="inlineStr">
        <is>
          <t>captured</t>
        </is>
      </c>
      <c r="H285" s="2" t="n">
        <v>8</v>
      </c>
      <c r="I285" s="2">
        <f>IFERROR(VLOOKUP(C285,Merchants!$A$2:$D$41,2,FALSE),"Merchant not found")</f>
        <v/>
      </c>
      <c r="J285" s="2">
        <f>IFERROR(VLOOKUP(C285,Merchants!$A$2:$D$41,3,FALSE),"Merchant not found")</f>
        <v/>
      </c>
      <c r="K285" s="2">
        <f>IFERROR(VLOOKUP(C285,Merchants!$A$2:$D$41,4,FALSE),"Merchant not found")</f>
        <v/>
      </c>
      <c r="L285" s="7">
        <f>DATE(YEAR(D285),MONTH(D285),DAY(D285))</f>
        <v/>
      </c>
      <c r="M285" s="5">
        <f>IFERROR(HLOOKUP(F285,Fee_Tiers!$B$1:$E$2,2,FALSE),"Fee tier not found")</f>
        <v/>
      </c>
      <c r="N285" s="8">
        <f>SUMIFS(Daily_Merchant!$C$2:$C$444,Daily_Merchant!$A$2:$A$444,C285,Daily_Merchant!$B$2:$B$444,L285)</f>
        <v/>
      </c>
      <c r="O285" s="2">
        <f>IF(AND(N285&gt;5000,K285&lt;&gt;"East"),"High-Value Merchant Day","")</f>
        <v/>
      </c>
    </row>
    <row r="286">
      <c r="A286" s="2" t="inlineStr">
        <is>
          <t>TXN100284</t>
        </is>
      </c>
      <c r="B286" s="2" t="n">
        <v>260</v>
      </c>
      <c r="C286" s="2" t="n">
        <v>36</v>
      </c>
      <c r="D286" s="12" t="n">
        <v>46039.73055555556</v>
      </c>
      <c r="E286" s="8" t="n">
        <v>1499</v>
      </c>
      <c r="F286" s="2" t="inlineStr">
        <is>
          <t>UPI</t>
        </is>
      </c>
      <c r="G286" s="2" t="inlineStr">
        <is>
          <t>captured</t>
        </is>
      </c>
      <c r="H286" s="2" t="n">
        <v>2</v>
      </c>
      <c r="I286" s="2">
        <f>IFERROR(VLOOKUP(C286,Merchants!$A$2:$D$41,2,FALSE),"Merchant not found")</f>
        <v/>
      </c>
      <c r="J286" s="2">
        <f>IFERROR(VLOOKUP(C286,Merchants!$A$2:$D$41,3,FALSE),"Merchant not found")</f>
        <v/>
      </c>
      <c r="K286" s="2">
        <f>IFERROR(VLOOKUP(C286,Merchants!$A$2:$D$41,4,FALSE),"Merchant not found")</f>
        <v/>
      </c>
      <c r="L286" s="7">
        <f>DATE(YEAR(D286),MONTH(D286),DAY(D286))</f>
        <v/>
      </c>
      <c r="M286" s="5">
        <f>IFERROR(HLOOKUP(F286,Fee_Tiers!$B$1:$E$2,2,FALSE),"Fee tier not found")</f>
        <v/>
      </c>
      <c r="N286" s="8">
        <f>SUMIFS(Daily_Merchant!$C$2:$C$444,Daily_Merchant!$A$2:$A$444,C286,Daily_Merchant!$B$2:$B$444,L286)</f>
        <v/>
      </c>
      <c r="O286" s="2">
        <f>IF(AND(N286&gt;5000,K286&lt;&gt;"East"),"High-Value Merchant Day","")</f>
        <v/>
      </c>
    </row>
    <row r="287">
      <c r="A287" s="2" t="inlineStr">
        <is>
          <t>TXN100285</t>
        </is>
      </c>
      <c r="B287" s="2" t="n">
        <v>326</v>
      </c>
      <c r="C287" s="2" t="n">
        <v>25</v>
      </c>
      <c r="D287" s="12" t="n">
        <v>46035.62638888889</v>
      </c>
      <c r="E287" s="8" t="n">
        <v>49</v>
      </c>
      <c r="F287" s="2" t="inlineStr">
        <is>
          <t>UPI</t>
        </is>
      </c>
      <c r="G287" s="2" t="inlineStr">
        <is>
          <t>captured</t>
        </is>
      </c>
      <c r="H287" s="2" t="n">
        <v>47</v>
      </c>
      <c r="I287" s="2">
        <f>IFERROR(VLOOKUP(C287,Merchants!$A$2:$D$41,2,FALSE),"Merchant not found")</f>
        <v/>
      </c>
      <c r="J287" s="2">
        <f>IFERROR(VLOOKUP(C287,Merchants!$A$2:$D$41,3,FALSE),"Merchant not found")</f>
        <v/>
      </c>
      <c r="K287" s="2">
        <f>IFERROR(VLOOKUP(C287,Merchants!$A$2:$D$41,4,FALSE),"Merchant not found")</f>
        <v/>
      </c>
      <c r="L287" s="7">
        <f>DATE(YEAR(D287),MONTH(D287),DAY(D287))</f>
        <v/>
      </c>
      <c r="M287" s="5">
        <f>IFERROR(HLOOKUP(F287,Fee_Tiers!$B$1:$E$2,2,FALSE),"Fee tier not found")</f>
        <v/>
      </c>
      <c r="N287" s="8">
        <f>SUMIFS(Daily_Merchant!$C$2:$C$444,Daily_Merchant!$A$2:$A$444,C287,Daily_Merchant!$B$2:$B$444,L287)</f>
        <v/>
      </c>
      <c r="O287" s="2">
        <f>IF(AND(N287&gt;5000,K287&lt;&gt;"East"),"High-Value Merchant Day","")</f>
        <v/>
      </c>
    </row>
    <row r="288">
      <c r="A288" s="2" t="inlineStr">
        <is>
          <t>TXN100286</t>
        </is>
      </c>
      <c r="B288" s="2" t="n">
        <v>183</v>
      </c>
      <c r="C288" s="2" t="n">
        <v>5</v>
      </c>
      <c r="D288" s="12" t="n">
        <v>46031.95902777778</v>
      </c>
      <c r="E288" s="8" t="n">
        <v>49</v>
      </c>
      <c r="F288" s="2" t="inlineStr">
        <is>
          <t>Card</t>
        </is>
      </c>
      <c r="G288" s="2" t="inlineStr">
        <is>
          <t>captured</t>
        </is>
      </c>
      <c r="H288" s="2" t="n">
        <v>44</v>
      </c>
      <c r="I288" s="2">
        <f>IFERROR(VLOOKUP(C288,Merchants!$A$2:$D$41,2,FALSE),"Merchant not found")</f>
        <v/>
      </c>
      <c r="J288" s="2">
        <f>IFERROR(VLOOKUP(C288,Merchants!$A$2:$D$41,3,FALSE),"Merchant not found")</f>
        <v/>
      </c>
      <c r="K288" s="2">
        <f>IFERROR(VLOOKUP(C288,Merchants!$A$2:$D$41,4,FALSE),"Merchant not found")</f>
        <v/>
      </c>
      <c r="L288" s="7">
        <f>DATE(YEAR(D288),MONTH(D288),DAY(D288))</f>
        <v/>
      </c>
      <c r="M288" s="5">
        <f>IFERROR(HLOOKUP(F288,Fee_Tiers!$B$1:$E$2,2,FALSE),"Fee tier not found")</f>
        <v/>
      </c>
      <c r="N288" s="8">
        <f>SUMIFS(Daily_Merchant!$C$2:$C$444,Daily_Merchant!$A$2:$A$444,C288,Daily_Merchant!$B$2:$B$444,L288)</f>
        <v/>
      </c>
      <c r="O288" s="2">
        <f>IF(AND(N288&gt;5000,K288&lt;&gt;"East"),"High-Value Merchant Day","")</f>
        <v/>
      </c>
    </row>
    <row r="289">
      <c r="A289" s="2" t="inlineStr">
        <is>
          <t>TXN100287</t>
        </is>
      </c>
      <c r="B289" s="2" t="n">
        <v>322</v>
      </c>
      <c r="C289" s="2" t="n">
        <v>7</v>
      </c>
      <c r="D289" s="12" t="n">
        <v>46030.9875</v>
      </c>
      <c r="E289" s="8" t="n">
        <v>299</v>
      </c>
      <c r="F289" s="2" t="inlineStr">
        <is>
          <t>UPI</t>
        </is>
      </c>
      <c r="G289" s="2" t="inlineStr">
        <is>
          <t>captured</t>
        </is>
      </c>
      <c r="H289" s="2" t="n">
        <v>98</v>
      </c>
      <c r="I289" s="2">
        <f>IFERROR(VLOOKUP(C289,Merchants!$A$2:$D$41,2,FALSE),"Merchant not found")</f>
        <v/>
      </c>
      <c r="J289" s="2">
        <f>IFERROR(VLOOKUP(C289,Merchants!$A$2:$D$41,3,FALSE),"Merchant not found")</f>
        <v/>
      </c>
      <c r="K289" s="2">
        <f>IFERROR(VLOOKUP(C289,Merchants!$A$2:$D$41,4,FALSE),"Merchant not found")</f>
        <v/>
      </c>
      <c r="L289" s="7">
        <f>DATE(YEAR(D289),MONTH(D289),DAY(D289))</f>
        <v/>
      </c>
      <c r="M289" s="5">
        <f>IFERROR(HLOOKUP(F289,Fee_Tiers!$B$1:$E$2,2,FALSE),"Fee tier not found")</f>
        <v/>
      </c>
      <c r="N289" s="8">
        <f>SUMIFS(Daily_Merchant!$C$2:$C$444,Daily_Merchant!$A$2:$A$444,C289,Daily_Merchant!$B$2:$B$444,L289)</f>
        <v/>
      </c>
      <c r="O289" s="2">
        <f>IF(AND(N289&gt;5000,K289&lt;&gt;"East"),"High-Value Merchant Day","")</f>
        <v/>
      </c>
    </row>
    <row r="290">
      <c r="A290" s="2" t="inlineStr">
        <is>
          <t>TXN100288</t>
        </is>
      </c>
      <c r="B290" s="2" t="n">
        <v>171</v>
      </c>
      <c r="C290" s="2" t="n">
        <v>9</v>
      </c>
      <c r="D290" s="12" t="n">
        <v>46041.99166666667</v>
      </c>
      <c r="E290" s="8" t="n">
        <v>299</v>
      </c>
      <c r="F290" s="2" t="inlineStr">
        <is>
          <t>UPI</t>
        </is>
      </c>
      <c r="G290" s="2" t="inlineStr">
        <is>
          <t>captured</t>
        </is>
      </c>
      <c r="H290" s="2" t="n">
        <v>5</v>
      </c>
      <c r="I290" s="2">
        <f>IFERROR(VLOOKUP(C290,Merchants!$A$2:$D$41,2,FALSE),"Merchant not found")</f>
        <v/>
      </c>
      <c r="J290" s="2">
        <f>IFERROR(VLOOKUP(C290,Merchants!$A$2:$D$41,3,FALSE),"Merchant not found")</f>
        <v/>
      </c>
      <c r="K290" s="2">
        <f>IFERROR(VLOOKUP(C290,Merchants!$A$2:$D$41,4,FALSE),"Merchant not found")</f>
        <v/>
      </c>
      <c r="L290" s="7">
        <f>DATE(YEAR(D290),MONTH(D290),DAY(D290))</f>
        <v/>
      </c>
      <c r="M290" s="5">
        <f>IFERROR(HLOOKUP(F290,Fee_Tiers!$B$1:$E$2,2,FALSE),"Fee tier not found")</f>
        <v/>
      </c>
      <c r="N290" s="8">
        <f>SUMIFS(Daily_Merchant!$C$2:$C$444,Daily_Merchant!$A$2:$A$444,C290,Daily_Merchant!$B$2:$B$444,L290)</f>
        <v/>
      </c>
      <c r="O290" s="2">
        <f>IF(AND(N290&gt;5000,K290&lt;&gt;"East"),"High-Value Merchant Day","")</f>
        <v/>
      </c>
    </row>
    <row r="291">
      <c r="A291" s="2" t="inlineStr">
        <is>
          <t>TXN100289</t>
        </is>
      </c>
      <c r="B291" s="2" t="n">
        <v>330</v>
      </c>
      <c r="C291" s="2" t="n">
        <v>12</v>
      </c>
      <c r="D291" s="12" t="n">
        <v>46034.72291666667</v>
      </c>
      <c r="E291" s="8" t="n">
        <v>1499</v>
      </c>
      <c r="F291" s="2" t="inlineStr">
        <is>
          <t>Netbanking</t>
        </is>
      </c>
      <c r="G291" s="2" t="inlineStr">
        <is>
          <t>captured</t>
        </is>
      </c>
      <c r="H291" s="2" t="n">
        <v>99</v>
      </c>
      <c r="I291" s="2">
        <f>IFERROR(VLOOKUP(C291,Merchants!$A$2:$D$41,2,FALSE),"Merchant not found")</f>
        <v/>
      </c>
      <c r="J291" s="2">
        <f>IFERROR(VLOOKUP(C291,Merchants!$A$2:$D$41,3,FALSE),"Merchant not found")</f>
        <v/>
      </c>
      <c r="K291" s="2">
        <f>IFERROR(VLOOKUP(C291,Merchants!$A$2:$D$41,4,FALSE),"Merchant not found")</f>
        <v/>
      </c>
      <c r="L291" s="7">
        <f>DATE(YEAR(D291),MONTH(D291),DAY(D291))</f>
        <v/>
      </c>
      <c r="M291" s="5">
        <f>IFERROR(HLOOKUP(F291,Fee_Tiers!$B$1:$E$2,2,FALSE),"Fee tier not found")</f>
        <v/>
      </c>
      <c r="N291" s="8">
        <f>SUMIFS(Daily_Merchant!$C$2:$C$444,Daily_Merchant!$A$2:$A$444,C291,Daily_Merchant!$B$2:$B$444,L291)</f>
        <v/>
      </c>
      <c r="O291" s="2">
        <f>IF(AND(N291&gt;5000,K291&lt;&gt;"East"),"High-Value Merchant Day","")</f>
        <v/>
      </c>
    </row>
    <row r="292">
      <c r="A292" s="2" t="inlineStr">
        <is>
          <t>TXN100290</t>
        </is>
      </c>
      <c r="B292" s="2" t="n">
        <v>246</v>
      </c>
      <c r="C292" s="2" t="n">
        <v>12</v>
      </c>
      <c r="D292" s="12" t="n">
        <v>46044.61388888889</v>
      </c>
      <c r="E292" s="8" t="n">
        <v>99</v>
      </c>
      <c r="F292" s="2" t="inlineStr">
        <is>
          <t>Wallet</t>
        </is>
      </c>
      <c r="G292" s="2" t="inlineStr">
        <is>
          <t>captured</t>
        </is>
      </c>
      <c r="H292" s="2" t="n">
        <v>17</v>
      </c>
      <c r="I292" s="2">
        <f>IFERROR(VLOOKUP(C292,Merchants!$A$2:$D$41,2,FALSE),"Merchant not found")</f>
        <v/>
      </c>
      <c r="J292" s="2">
        <f>IFERROR(VLOOKUP(C292,Merchants!$A$2:$D$41,3,FALSE),"Merchant not found")</f>
        <v/>
      </c>
      <c r="K292" s="2">
        <f>IFERROR(VLOOKUP(C292,Merchants!$A$2:$D$41,4,FALSE),"Merchant not found")</f>
        <v/>
      </c>
      <c r="L292" s="7">
        <f>DATE(YEAR(D292),MONTH(D292),DAY(D292))</f>
        <v/>
      </c>
      <c r="M292" s="5">
        <f>IFERROR(HLOOKUP(F292,Fee_Tiers!$B$1:$E$2,2,FALSE),"Fee tier not found")</f>
        <v/>
      </c>
      <c r="N292" s="8">
        <f>SUMIFS(Daily_Merchant!$C$2:$C$444,Daily_Merchant!$A$2:$A$444,C292,Daily_Merchant!$B$2:$B$444,L292)</f>
        <v/>
      </c>
      <c r="O292" s="2">
        <f>IF(AND(N292&gt;5000,K292&lt;&gt;"East"),"High-Value Merchant Day","")</f>
        <v/>
      </c>
    </row>
    <row r="293">
      <c r="A293" s="2" t="inlineStr">
        <is>
          <t>TXN100291</t>
        </is>
      </c>
      <c r="B293" s="2" t="n">
        <v>235</v>
      </c>
      <c r="C293" s="2" t="n">
        <v>3</v>
      </c>
      <c r="D293" s="12" t="n">
        <v>46025.95069444444</v>
      </c>
      <c r="E293" s="8" t="n">
        <v>49</v>
      </c>
      <c r="F293" s="2" t="inlineStr">
        <is>
          <t>UPI</t>
        </is>
      </c>
      <c r="G293" s="2" t="inlineStr">
        <is>
          <t>captured</t>
        </is>
      </c>
      <c r="H293" s="2" t="n">
        <v>37</v>
      </c>
      <c r="I293" s="2">
        <f>IFERROR(VLOOKUP(C293,Merchants!$A$2:$D$41,2,FALSE),"Merchant not found")</f>
        <v/>
      </c>
      <c r="J293" s="2">
        <f>IFERROR(VLOOKUP(C293,Merchants!$A$2:$D$41,3,FALSE),"Merchant not found")</f>
        <v/>
      </c>
      <c r="K293" s="2">
        <f>IFERROR(VLOOKUP(C293,Merchants!$A$2:$D$41,4,FALSE),"Merchant not found")</f>
        <v/>
      </c>
      <c r="L293" s="7">
        <f>DATE(YEAR(D293),MONTH(D293),DAY(D293))</f>
        <v/>
      </c>
      <c r="M293" s="5">
        <f>IFERROR(HLOOKUP(F293,Fee_Tiers!$B$1:$E$2,2,FALSE),"Fee tier not found")</f>
        <v/>
      </c>
      <c r="N293" s="8">
        <f>SUMIFS(Daily_Merchant!$C$2:$C$444,Daily_Merchant!$A$2:$A$444,C293,Daily_Merchant!$B$2:$B$444,L293)</f>
        <v/>
      </c>
      <c r="O293" s="2">
        <f>IF(AND(N293&gt;5000,K293&lt;&gt;"East"),"High-Value Merchant Day","")</f>
        <v/>
      </c>
    </row>
    <row r="294">
      <c r="A294" s="2" t="inlineStr">
        <is>
          <t>TXN100292</t>
        </is>
      </c>
      <c r="B294" s="2" t="n">
        <v>103</v>
      </c>
      <c r="C294" s="2" t="n">
        <v>3</v>
      </c>
      <c r="D294" s="12" t="n">
        <v>46029.07638888889</v>
      </c>
      <c r="E294" s="8" t="n">
        <v>499</v>
      </c>
      <c r="F294" s="2" t="inlineStr">
        <is>
          <t>UPI</t>
        </is>
      </c>
      <c r="G294" s="2" t="inlineStr">
        <is>
          <t>captured</t>
        </is>
      </c>
      <c r="H294" s="2" t="n">
        <v>40</v>
      </c>
      <c r="I294" s="2">
        <f>IFERROR(VLOOKUP(C294,Merchants!$A$2:$D$41,2,FALSE),"Merchant not found")</f>
        <v/>
      </c>
      <c r="J294" s="2">
        <f>IFERROR(VLOOKUP(C294,Merchants!$A$2:$D$41,3,FALSE),"Merchant not found")</f>
        <v/>
      </c>
      <c r="K294" s="2">
        <f>IFERROR(VLOOKUP(C294,Merchants!$A$2:$D$41,4,FALSE),"Merchant not found")</f>
        <v/>
      </c>
      <c r="L294" s="7">
        <f>DATE(YEAR(D294),MONTH(D294),DAY(D294))</f>
        <v/>
      </c>
      <c r="M294" s="5">
        <f>IFERROR(HLOOKUP(F294,Fee_Tiers!$B$1:$E$2,2,FALSE),"Fee tier not found")</f>
        <v/>
      </c>
      <c r="N294" s="8">
        <f>SUMIFS(Daily_Merchant!$C$2:$C$444,Daily_Merchant!$A$2:$A$444,C294,Daily_Merchant!$B$2:$B$444,L294)</f>
        <v/>
      </c>
      <c r="O294" s="2">
        <f>IF(AND(N294&gt;5000,K294&lt;&gt;"East"),"High-Value Merchant Day","")</f>
        <v/>
      </c>
    </row>
    <row r="295">
      <c r="A295" s="2" t="inlineStr">
        <is>
          <t>TXN100293</t>
        </is>
      </c>
      <c r="B295" s="2" t="n">
        <v>204</v>
      </c>
      <c r="C295" s="2" t="n">
        <v>35</v>
      </c>
      <c r="D295" s="12" t="n">
        <v>46052.39722222222</v>
      </c>
      <c r="E295" s="8" t="n">
        <v>99</v>
      </c>
      <c r="F295" s="2" t="inlineStr">
        <is>
          <t>Wallet</t>
        </is>
      </c>
      <c r="G295" s="2" t="inlineStr">
        <is>
          <t>captured</t>
        </is>
      </c>
      <c r="H295" s="2" t="n">
        <v>60</v>
      </c>
      <c r="I295" s="2">
        <f>IFERROR(VLOOKUP(C295,Merchants!$A$2:$D$41,2,FALSE),"Merchant not found")</f>
        <v/>
      </c>
      <c r="J295" s="2">
        <f>IFERROR(VLOOKUP(C295,Merchants!$A$2:$D$41,3,FALSE),"Merchant not found")</f>
        <v/>
      </c>
      <c r="K295" s="2">
        <f>IFERROR(VLOOKUP(C295,Merchants!$A$2:$D$41,4,FALSE),"Merchant not found")</f>
        <v/>
      </c>
      <c r="L295" s="7">
        <f>DATE(YEAR(D295),MONTH(D295),DAY(D295))</f>
        <v/>
      </c>
      <c r="M295" s="5">
        <f>IFERROR(HLOOKUP(F295,Fee_Tiers!$B$1:$E$2,2,FALSE),"Fee tier not found")</f>
        <v/>
      </c>
      <c r="N295" s="8">
        <f>SUMIFS(Daily_Merchant!$C$2:$C$444,Daily_Merchant!$A$2:$A$444,C295,Daily_Merchant!$B$2:$B$444,L295)</f>
        <v/>
      </c>
      <c r="O295" s="2">
        <f>IF(AND(N295&gt;5000,K295&lt;&gt;"East"),"High-Value Merchant Day","")</f>
        <v/>
      </c>
    </row>
    <row r="296">
      <c r="A296" s="2" t="inlineStr">
        <is>
          <t>TXN100294</t>
        </is>
      </c>
      <c r="B296" s="2" t="n">
        <v>332</v>
      </c>
      <c r="C296" s="2" t="n">
        <v>13</v>
      </c>
      <c r="D296" s="12" t="n">
        <v>46031.075</v>
      </c>
      <c r="E296" s="8" t="n">
        <v>49</v>
      </c>
      <c r="F296" s="2" t="inlineStr">
        <is>
          <t>Card</t>
        </is>
      </c>
      <c r="G296" s="2" t="inlineStr">
        <is>
          <t>captured</t>
        </is>
      </c>
      <c r="H296" s="2" t="n">
        <v>36</v>
      </c>
      <c r="I296" s="2">
        <f>IFERROR(VLOOKUP(C296,Merchants!$A$2:$D$41,2,FALSE),"Merchant not found")</f>
        <v/>
      </c>
      <c r="J296" s="2">
        <f>IFERROR(VLOOKUP(C296,Merchants!$A$2:$D$41,3,FALSE),"Merchant not found")</f>
        <v/>
      </c>
      <c r="K296" s="2">
        <f>IFERROR(VLOOKUP(C296,Merchants!$A$2:$D$41,4,FALSE),"Merchant not found")</f>
        <v/>
      </c>
      <c r="L296" s="7">
        <f>DATE(YEAR(D296),MONTH(D296),DAY(D296))</f>
        <v/>
      </c>
      <c r="M296" s="5">
        <f>IFERROR(HLOOKUP(F296,Fee_Tiers!$B$1:$E$2,2,FALSE),"Fee tier not found")</f>
        <v/>
      </c>
      <c r="N296" s="8">
        <f>SUMIFS(Daily_Merchant!$C$2:$C$444,Daily_Merchant!$A$2:$A$444,C296,Daily_Merchant!$B$2:$B$444,L296)</f>
        <v/>
      </c>
      <c r="O296" s="2">
        <f>IF(AND(N296&gt;5000,K296&lt;&gt;"East"),"High-Value Merchant Day","")</f>
        <v/>
      </c>
    </row>
    <row r="297">
      <c r="A297" s="2" t="inlineStr">
        <is>
          <t>TXN100295</t>
        </is>
      </c>
      <c r="B297" s="2" t="n">
        <v>336</v>
      </c>
      <c r="C297" s="2" t="n">
        <v>22</v>
      </c>
      <c r="D297" s="12" t="n">
        <v>46034.07986111111</v>
      </c>
      <c r="E297" s="8" t="n">
        <v>499</v>
      </c>
      <c r="F297" s="2" t="inlineStr">
        <is>
          <t>UPI</t>
        </is>
      </c>
      <c r="G297" s="2" t="inlineStr">
        <is>
          <t>captured</t>
        </is>
      </c>
      <c r="H297" s="2" t="n">
        <v>34</v>
      </c>
      <c r="I297" s="2">
        <f>IFERROR(VLOOKUP(C297,Merchants!$A$2:$D$41,2,FALSE),"Merchant not found")</f>
        <v/>
      </c>
      <c r="J297" s="2">
        <f>IFERROR(VLOOKUP(C297,Merchants!$A$2:$D$41,3,FALSE),"Merchant not found")</f>
        <v/>
      </c>
      <c r="K297" s="2">
        <f>IFERROR(VLOOKUP(C297,Merchants!$A$2:$D$41,4,FALSE),"Merchant not found")</f>
        <v/>
      </c>
      <c r="L297" s="7">
        <f>DATE(YEAR(D297),MONTH(D297),DAY(D297))</f>
        <v/>
      </c>
      <c r="M297" s="5">
        <f>IFERROR(HLOOKUP(F297,Fee_Tiers!$B$1:$E$2,2,FALSE),"Fee tier not found")</f>
        <v/>
      </c>
      <c r="N297" s="8">
        <f>SUMIFS(Daily_Merchant!$C$2:$C$444,Daily_Merchant!$A$2:$A$444,C297,Daily_Merchant!$B$2:$B$444,L297)</f>
        <v/>
      </c>
      <c r="O297" s="2">
        <f>IF(AND(N297&gt;5000,K297&lt;&gt;"East"),"High-Value Merchant Day","")</f>
        <v/>
      </c>
    </row>
    <row r="298">
      <c r="A298" s="2" t="inlineStr">
        <is>
          <t>TXN100296</t>
        </is>
      </c>
      <c r="B298" s="2" t="n">
        <v>205</v>
      </c>
      <c r="C298" s="2" t="n">
        <v>29</v>
      </c>
      <c r="D298" s="12" t="n">
        <v>46026.47708333333</v>
      </c>
      <c r="E298" s="8" t="n">
        <v>99</v>
      </c>
      <c r="F298" s="2" t="inlineStr">
        <is>
          <t>Wallet</t>
        </is>
      </c>
      <c r="G298" s="2" t="inlineStr">
        <is>
          <t>captured</t>
        </is>
      </c>
      <c r="H298" s="2" t="n">
        <v>49</v>
      </c>
      <c r="I298" s="2">
        <f>IFERROR(VLOOKUP(C298,Merchants!$A$2:$D$41,2,FALSE),"Merchant not found")</f>
        <v/>
      </c>
      <c r="J298" s="2">
        <f>IFERROR(VLOOKUP(C298,Merchants!$A$2:$D$41,3,FALSE),"Merchant not found")</f>
        <v/>
      </c>
      <c r="K298" s="2">
        <f>IFERROR(VLOOKUP(C298,Merchants!$A$2:$D$41,4,FALSE),"Merchant not found")</f>
        <v/>
      </c>
      <c r="L298" s="7">
        <f>DATE(YEAR(D298),MONTH(D298),DAY(D298))</f>
        <v/>
      </c>
      <c r="M298" s="5">
        <f>IFERROR(HLOOKUP(F298,Fee_Tiers!$B$1:$E$2,2,FALSE),"Fee tier not found")</f>
        <v/>
      </c>
      <c r="N298" s="8">
        <f>SUMIFS(Daily_Merchant!$C$2:$C$444,Daily_Merchant!$A$2:$A$444,C298,Daily_Merchant!$B$2:$B$444,L298)</f>
        <v/>
      </c>
      <c r="O298" s="2">
        <f>IF(AND(N298&gt;5000,K298&lt;&gt;"East"),"High-Value Merchant Day","")</f>
        <v/>
      </c>
    </row>
    <row r="299">
      <c r="A299" s="2" t="inlineStr">
        <is>
          <t>TXN100297</t>
        </is>
      </c>
      <c r="B299" s="2" t="n">
        <v>255</v>
      </c>
      <c r="C299" s="2" t="n">
        <v>24</v>
      </c>
      <c r="D299" s="12" t="n">
        <v>46033.22986111111</v>
      </c>
      <c r="E299" s="8" t="n">
        <v>799</v>
      </c>
      <c r="F299" s="2" t="inlineStr">
        <is>
          <t>UPI</t>
        </is>
      </c>
      <c r="G299" s="2" t="inlineStr">
        <is>
          <t>captured</t>
        </is>
      </c>
      <c r="H299" s="2" t="n">
        <v>66</v>
      </c>
      <c r="I299" s="2">
        <f>IFERROR(VLOOKUP(C299,Merchants!$A$2:$D$41,2,FALSE),"Merchant not found")</f>
        <v/>
      </c>
      <c r="J299" s="2">
        <f>IFERROR(VLOOKUP(C299,Merchants!$A$2:$D$41,3,FALSE),"Merchant not found")</f>
        <v/>
      </c>
      <c r="K299" s="2">
        <f>IFERROR(VLOOKUP(C299,Merchants!$A$2:$D$41,4,FALSE),"Merchant not found")</f>
        <v/>
      </c>
      <c r="L299" s="7">
        <f>DATE(YEAR(D299),MONTH(D299),DAY(D299))</f>
        <v/>
      </c>
      <c r="M299" s="5">
        <f>IFERROR(HLOOKUP(F299,Fee_Tiers!$B$1:$E$2,2,FALSE),"Fee tier not found")</f>
        <v/>
      </c>
      <c r="N299" s="8">
        <f>SUMIFS(Daily_Merchant!$C$2:$C$444,Daily_Merchant!$A$2:$A$444,C299,Daily_Merchant!$B$2:$B$444,L299)</f>
        <v/>
      </c>
      <c r="O299" s="2">
        <f>IF(AND(N299&gt;5000,K299&lt;&gt;"East"),"High-Value Merchant Day","")</f>
        <v/>
      </c>
    </row>
    <row r="300">
      <c r="A300" s="2" t="inlineStr">
        <is>
          <t>TXN100298</t>
        </is>
      </c>
      <c r="B300" s="2" t="n">
        <v>218</v>
      </c>
      <c r="C300" s="2" t="n">
        <v>6</v>
      </c>
      <c r="D300" s="12" t="n">
        <v>46031.11527777778</v>
      </c>
      <c r="E300" s="8" t="n">
        <v>99</v>
      </c>
      <c r="F300" s="2" t="inlineStr">
        <is>
          <t>UPI</t>
        </is>
      </c>
      <c r="G300" s="2" t="inlineStr">
        <is>
          <t>captured</t>
        </is>
      </c>
      <c r="H300" s="2" t="n">
        <v>55</v>
      </c>
      <c r="I300" s="2">
        <f>IFERROR(VLOOKUP(C300,Merchants!$A$2:$D$41,2,FALSE),"Merchant not found")</f>
        <v/>
      </c>
      <c r="J300" s="2">
        <f>IFERROR(VLOOKUP(C300,Merchants!$A$2:$D$41,3,FALSE),"Merchant not found")</f>
        <v/>
      </c>
      <c r="K300" s="2">
        <f>IFERROR(VLOOKUP(C300,Merchants!$A$2:$D$41,4,FALSE),"Merchant not found")</f>
        <v/>
      </c>
      <c r="L300" s="7">
        <f>DATE(YEAR(D300),MONTH(D300),DAY(D300))</f>
        <v/>
      </c>
      <c r="M300" s="5">
        <f>IFERROR(HLOOKUP(F300,Fee_Tiers!$B$1:$E$2,2,FALSE),"Fee tier not found")</f>
        <v/>
      </c>
      <c r="N300" s="8">
        <f>SUMIFS(Daily_Merchant!$C$2:$C$444,Daily_Merchant!$A$2:$A$444,C300,Daily_Merchant!$B$2:$B$444,L300)</f>
        <v/>
      </c>
      <c r="O300" s="2">
        <f>IF(AND(N300&gt;5000,K300&lt;&gt;"East"),"High-Value Merchant Day","")</f>
        <v/>
      </c>
    </row>
    <row r="301">
      <c r="A301" s="2" t="inlineStr">
        <is>
          <t>TXN100299</t>
        </is>
      </c>
      <c r="B301" s="2" t="n">
        <v>151</v>
      </c>
      <c r="C301" s="2" t="n">
        <v>21</v>
      </c>
      <c r="D301" s="12" t="n">
        <v>46042.23194444444</v>
      </c>
      <c r="E301" s="8" t="n">
        <v>49</v>
      </c>
      <c r="F301" s="2" t="inlineStr">
        <is>
          <t>UPI</t>
        </is>
      </c>
      <c r="G301" s="2" t="inlineStr">
        <is>
          <t>captured</t>
        </is>
      </c>
      <c r="H301" s="2" t="n">
        <v>13</v>
      </c>
      <c r="I301" s="2">
        <f>IFERROR(VLOOKUP(C301,Merchants!$A$2:$D$41,2,FALSE),"Merchant not found")</f>
        <v/>
      </c>
      <c r="J301" s="2">
        <f>IFERROR(VLOOKUP(C301,Merchants!$A$2:$D$41,3,FALSE),"Merchant not found")</f>
        <v/>
      </c>
      <c r="K301" s="2">
        <f>IFERROR(VLOOKUP(C301,Merchants!$A$2:$D$41,4,FALSE),"Merchant not found")</f>
        <v/>
      </c>
      <c r="L301" s="7">
        <f>DATE(YEAR(D301),MONTH(D301),DAY(D301))</f>
        <v/>
      </c>
      <c r="M301" s="5">
        <f>IFERROR(HLOOKUP(F301,Fee_Tiers!$B$1:$E$2,2,FALSE),"Fee tier not found")</f>
        <v/>
      </c>
      <c r="N301" s="8">
        <f>SUMIFS(Daily_Merchant!$C$2:$C$444,Daily_Merchant!$A$2:$A$444,C301,Daily_Merchant!$B$2:$B$444,L301)</f>
        <v/>
      </c>
      <c r="O301" s="2">
        <f>IF(AND(N301&gt;5000,K301&lt;&gt;"East"),"High-Value Merchant Day","")</f>
        <v/>
      </c>
    </row>
    <row r="302">
      <c r="A302" s="2" t="inlineStr">
        <is>
          <t>TXN100300</t>
        </is>
      </c>
      <c r="B302" s="2" t="n">
        <v>152</v>
      </c>
      <c r="C302" s="2" t="n">
        <v>20</v>
      </c>
      <c r="D302" s="12" t="n">
        <v>46025.44583333333</v>
      </c>
      <c r="E302" s="8" t="n">
        <v>49</v>
      </c>
      <c r="F302" s="2" t="inlineStr">
        <is>
          <t>UPI</t>
        </is>
      </c>
      <c r="G302" s="2" t="inlineStr">
        <is>
          <t>captured</t>
        </is>
      </c>
      <c r="H302" s="2" t="n">
        <v>57</v>
      </c>
      <c r="I302" s="2">
        <f>IFERROR(VLOOKUP(C302,Merchants!$A$2:$D$41,2,FALSE),"Merchant not found")</f>
        <v/>
      </c>
      <c r="J302" s="2">
        <f>IFERROR(VLOOKUP(C302,Merchants!$A$2:$D$41,3,FALSE),"Merchant not found")</f>
        <v/>
      </c>
      <c r="K302" s="2">
        <f>IFERROR(VLOOKUP(C302,Merchants!$A$2:$D$41,4,FALSE),"Merchant not found")</f>
        <v/>
      </c>
      <c r="L302" s="7">
        <f>DATE(YEAR(D302),MONTH(D302),DAY(D302))</f>
        <v/>
      </c>
      <c r="M302" s="5">
        <f>IFERROR(HLOOKUP(F302,Fee_Tiers!$B$1:$E$2,2,FALSE),"Fee tier not found")</f>
        <v/>
      </c>
      <c r="N302" s="8">
        <f>SUMIFS(Daily_Merchant!$C$2:$C$444,Daily_Merchant!$A$2:$A$444,C302,Daily_Merchant!$B$2:$B$444,L302)</f>
        <v/>
      </c>
      <c r="O302" s="2">
        <f>IF(AND(N302&gt;5000,K302&lt;&gt;"East"),"High-Value Merchant Day","")</f>
        <v/>
      </c>
    </row>
    <row r="303">
      <c r="A303" s="2" t="inlineStr">
        <is>
          <t>TXN100301</t>
        </is>
      </c>
      <c r="B303" s="2" t="n">
        <v>86</v>
      </c>
      <c r="C303" s="2" t="n">
        <v>29</v>
      </c>
      <c r="D303" s="12" t="n">
        <v>46042.93541666667</v>
      </c>
      <c r="E303" s="8" t="n">
        <v>149</v>
      </c>
      <c r="F303" s="2" t="inlineStr">
        <is>
          <t>Card</t>
        </is>
      </c>
      <c r="G303" s="2" t="inlineStr">
        <is>
          <t>captured</t>
        </is>
      </c>
      <c r="H303" s="2" t="n">
        <v>44</v>
      </c>
      <c r="I303" s="2">
        <f>IFERROR(VLOOKUP(C303,Merchants!$A$2:$D$41,2,FALSE),"Merchant not found")</f>
        <v/>
      </c>
      <c r="J303" s="2">
        <f>IFERROR(VLOOKUP(C303,Merchants!$A$2:$D$41,3,FALSE),"Merchant not found")</f>
        <v/>
      </c>
      <c r="K303" s="2">
        <f>IFERROR(VLOOKUP(C303,Merchants!$A$2:$D$41,4,FALSE),"Merchant not found")</f>
        <v/>
      </c>
      <c r="L303" s="7">
        <f>DATE(YEAR(D303),MONTH(D303),DAY(D303))</f>
        <v/>
      </c>
      <c r="M303" s="5">
        <f>IFERROR(HLOOKUP(F303,Fee_Tiers!$B$1:$E$2,2,FALSE),"Fee tier not found")</f>
        <v/>
      </c>
      <c r="N303" s="8">
        <f>SUMIFS(Daily_Merchant!$C$2:$C$444,Daily_Merchant!$A$2:$A$444,C303,Daily_Merchant!$B$2:$B$444,L303)</f>
        <v/>
      </c>
      <c r="O303" s="2">
        <f>IF(AND(N303&gt;5000,K303&lt;&gt;"East"),"High-Value Merchant Day","")</f>
        <v/>
      </c>
    </row>
    <row r="304">
      <c r="A304" s="2" t="inlineStr">
        <is>
          <t>TXN100302</t>
        </is>
      </c>
      <c r="B304" s="2" t="n">
        <v>181</v>
      </c>
      <c r="C304" s="2" t="n">
        <v>40</v>
      </c>
      <c r="D304" s="12" t="n">
        <v>46037.07361111111</v>
      </c>
      <c r="E304" s="8" t="n">
        <v>149</v>
      </c>
      <c r="F304" s="2" t="inlineStr">
        <is>
          <t>UPI</t>
        </is>
      </c>
      <c r="G304" s="2" t="inlineStr">
        <is>
          <t>captured</t>
        </is>
      </c>
      <c r="H304" s="2" t="n">
        <v>55</v>
      </c>
      <c r="I304" s="2">
        <f>IFERROR(VLOOKUP(C304,Merchants!$A$2:$D$41,2,FALSE),"Merchant not found")</f>
        <v/>
      </c>
      <c r="J304" s="2">
        <f>IFERROR(VLOOKUP(C304,Merchants!$A$2:$D$41,3,FALSE),"Merchant not found")</f>
        <v/>
      </c>
      <c r="K304" s="2">
        <f>IFERROR(VLOOKUP(C304,Merchants!$A$2:$D$41,4,FALSE),"Merchant not found")</f>
        <v/>
      </c>
      <c r="L304" s="7">
        <f>DATE(YEAR(D304),MONTH(D304),DAY(D304))</f>
        <v/>
      </c>
      <c r="M304" s="5">
        <f>IFERROR(HLOOKUP(F304,Fee_Tiers!$B$1:$E$2,2,FALSE),"Fee tier not found")</f>
        <v/>
      </c>
      <c r="N304" s="8">
        <f>SUMIFS(Daily_Merchant!$C$2:$C$444,Daily_Merchant!$A$2:$A$444,C304,Daily_Merchant!$B$2:$B$444,L304)</f>
        <v/>
      </c>
      <c r="O304" s="2">
        <f>IF(AND(N304&gt;5000,K304&lt;&gt;"East"),"High-Value Merchant Day","")</f>
        <v/>
      </c>
    </row>
    <row r="305">
      <c r="A305" s="2" t="inlineStr">
        <is>
          <t>TXN100303</t>
        </is>
      </c>
      <c r="B305" s="2" t="n">
        <v>30</v>
      </c>
      <c r="C305" s="2" t="n">
        <v>5</v>
      </c>
      <c r="D305" s="12" t="n">
        <v>46031.86805555555</v>
      </c>
      <c r="E305" s="8" t="n">
        <v>299</v>
      </c>
      <c r="F305" s="2" t="inlineStr">
        <is>
          <t>UPI</t>
        </is>
      </c>
      <c r="G305" s="2" t="inlineStr">
        <is>
          <t>captured</t>
        </is>
      </c>
      <c r="H305" s="2" t="n">
        <v>85</v>
      </c>
      <c r="I305" s="2">
        <f>IFERROR(VLOOKUP(C305,Merchants!$A$2:$D$41,2,FALSE),"Merchant not found")</f>
        <v/>
      </c>
      <c r="J305" s="2">
        <f>IFERROR(VLOOKUP(C305,Merchants!$A$2:$D$41,3,FALSE),"Merchant not found")</f>
        <v/>
      </c>
      <c r="K305" s="2">
        <f>IFERROR(VLOOKUP(C305,Merchants!$A$2:$D$41,4,FALSE),"Merchant not found")</f>
        <v/>
      </c>
      <c r="L305" s="7">
        <f>DATE(YEAR(D305),MONTH(D305),DAY(D305))</f>
        <v/>
      </c>
      <c r="M305" s="5">
        <f>IFERROR(HLOOKUP(F305,Fee_Tiers!$B$1:$E$2,2,FALSE),"Fee tier not found")</f>
        <v/>
      </c>
      <c r="N305" s="8">
        <f>SUMIFS(Daily_Merchant!$C$2:$C$444,Daily_Merchant!$A$2:$A$444,C305,Daily_Merchant!$B$2:$B$444,L305)</f>
        <v/>
      </c>
      <c r="O305" s="2">
        <f>IF(AND(N305&gt;5000,K305&lt;&gt;"East"),"High-Value Merchant Day","")</f>
        <v/>
      </c>
    </row>
    <row r="306">
      <c r="A306" s="2" t="inlineStr">
        <is>
          <t>TXN100304</t>
        </is>
      </c>
      <c r="B306" s="2" t="n">
        <v>263</v>
      </c>
      <c r="C306" s="2" t="n">
        <v>11</v>
      </c>
      <c r="D306" s="12" t="n">
        <v>46043.51597222222</v>
      </c>
      <c r="E306" s="8" t="n">
        <v>149</v>
      </c>
      <c r="F306" s="2" t="inlineStr">
        <is>
          <t>Wallet</t>
        </is>
      </c>
      <c r="G306" s="2" t="inlineStr">
        <is>
          <t>captured</t>
        </is>
      </c>
      <c r="H306" s="2" t="n">
        <v>3</v>
      </c>
      <c r="I306" s="2">
        <f>IFERROR(VLOOKUP(C306,Merchants!$A$2:$D$41,2,FALSE),"Merchant not found")</f>
        <v/>
      </c>
      <c r="J306" s="2">
        <f>IFERROR(VLOOKUP(C306,Merchants!$A$2:$D$41,3,FALSE),"Merchant not found")</f>
        <v/>
      </c>
      <c r="K306" s="2">
        <f>IFERROR(VLOOKUP(C306,Merchants!$A$2:$D$41,4,FALSE),"Merchant not found")</f>
        <v/>
      </c>
      <c r="L306" s="7">
        <f>DATE(YEAR(D306),MONTH(D306),DAY(D306))</f>
        <v/>
      </c>
      <c r="M306" s="5">
        <f>IFERROR(HLOOKUP(F306,Fee_Tiers!$B$1:$E$2,2,FALSE),"Fee tier not found")</f>
        <v/>
      </c>
      <c r="N306" s="8">
        <f>SUMIFS(Daily_Merchant!$C$2:$C$444,Daily_Merchant!$A$2:$A$444,C306,Daily_Merchant!$B$2:$B$444,L306)</f>
        <v/>
      </c>
      <c r="O306" s="2">
        <f>IF(AND(N306&gt;5000,K306&lt;&gt;"East"),"High-Value Merchant Day","")</f>
        <v/>
      </c>
    </row>
    <row r="307">
      <c r="A307" s="2" t="inlineStr">
        <is>
          <t>TXN100305</t>
        </is>
      </c>
      <c r="B307" s="2" t="n">
        <v>225</v>
      </c>
      <c r="C307" s="2" t="n">
        <v>3</v>
      </c>
      <c r="D307" s="12" t="n">
        <v>46027.82152777778</v>
      </c>
      <c r="E307" s="8" t="n">
        <v>99</v>
      </c>
      <c r="F307" s="2" t="inlineStr">
        <is>
          <t>Netbanking</t>
        </is>
      </c>
      <c r="G307" s="2" t="inlineStr">
        <is>
          <t>captured</t>
        </is>
      </c>
      <c r="H307" s="2" t="n">
        <v>16</v>
      </c>
      <c r="I307" s="2">
        <f>IFERROR(VLOOKUP(C307,Merchants!$A$2:$D$41,2,FALSE),"Merchant not found")</f>
        <v/>
      </c>
      <c r="J307" s="2">
        <f>IFERROR(VLOOKUP(C307,Merchants!$A$2:$D$41,3,FALSE),"Merchant not found")</f>
        <v/>
      </c>
      <c r="K307" s="2">
        <f>IFERROR(VLOOKUP(C307,Merchants!$A$2:$D$41,4,FALSE),"Merchant not found")</f>
        <v/>
      </c>
      <c r="L307" s="7">
        <f>DATE(YEAR(D307),MONTH(D307),DAY(D307))</f>
        <v/>
      </c>
      <c r="M307" s="5">
        <f>IFERROR(HLOOKUP(F307,Fee_Tiers!$B$1:$E$2,2,FALSE),"Fee tier not found")</f>
        <v/>
      </c>
      <c r="N307" s="8">
        <f>SUMIFS(Daily_Merchant!$C$2:$C$444,Daily_Merchant!$A$2:$A$444,C307,Daily_Merchant!$B$2:$B$444,L307)</f>
        <v/>
      </c>
      <c r="O307" s="2">
        <f>IF(AND(N307&gt;5000,K307&lt;&gt;"East"),"High-Value Merchant Day","")</f>
        <v/>
      </c>
    </row>
    <row r="308">
      <c r="A308" s="2" t="inlineStr">
        <is>
          <t>TXN100306</t>
        </is>
      </c>
      <c r="B308" s="2" t="n">
        <v>331</v>
      </c>
      <c r="C308" s="2" t="n">
        <v>24</v>
      </c>
      <c r="D308" s="12" t="n">
        <v>46025.32569444444</v>
      </c>
      <c r="E308" s="8" t="n">
        <v>49</v>
      </c>
      <c r="F308" s="2" t="inlineStr">
        <is>
          <t>Card</t>
        </is>
      </c>
      <c r="G308" s="2" t="inlineStr">
        <is>
          <t>captured</t>
        </is>
      </c>
      <c r="H308" s="2" t="n">
        <v>46</v>
      </c>
      <c r="I308" s="2">
        <f>IFERROR(VLOOKUP(C308,Merchants!$A$2:$D$41,2,FALSE),"Merchant not found")</f>
        <v/>
      </c>
      <c r="J308" s="2">
        <f>IFERROR(VLOOKUP(C308,Merchants!$A$2:$D$41,3,FALSE),"Merchant not found")</f>
        <v/>
      </c>
      <c r="K308" s="2">
        <f>IFERROR(VLOOKUP(C308,Merchants!$A$2:$D$41,4,FALSE),"Merchant not found")</f>
        <v/>
      </c>
      <c r="L308" s="7">
        <f>DATE(YEAR(D308),MONTH(D308),DAY(D308))</f>
        <v/>
      </c>
      <c r="M308" s="5">
        <f>IFERROR(HLOOKUP(F308,Fee_Tiers!$B$1:$E$2,2,FALSE),"Fee tier not found")</f>
        <v/>
      </c>
      <c r="N308" s="8">
        <f>SUMIFS(Daily_Merchant!$C$2:$C$444,Daily_Merchant!$A$2:$A$444,C308,Daily_Merchant!$B$2:$B$444,L308)</f>
        <v/>
      </c>
      <c r="O308" s="2">
        <f>IF(AND(N308&gt;5000,K308&lt;&gt;"East"),"High-Value Merchant Day","")</f>
        <v/>
      </c>
    </row>
    <row r="309">
      <c r="A309" s="2" t="inlineStr">
        <is>
          <t>TXN100307</t>
        </is>
      </c>
      <c r="B309" s="2" t="n">
        <v>310</v>
      </c>
      <c r="C309" s="2" t="n">
        <v>10</v>
      </c>
      <c r="D309" s="12" t="n">
        <v>46035.75138888889</v>
      </c>
      <c r="E309" s="8" t="n">
        <v>1499</v>
      </c>
      <c r="F309" s="2" t="inlineStr">
        <is>
          <t>Card</t>
        </is>
      </c>
      <c r="G309" s="2" t="inlineStr">
        <is>
          <t>captured</t>
        </is>
      </c>
      <c r="H309" s="2" t="n">
        <v>86</v>
      </c>
      <c r="I309" s="2">
        <f>IFERROR(VLOOKUP(C309,Merchants!$A$2:$D$41,2,FALSE),"Merchant not found")</f>
        <v/>
      </c>
      <c r="J309" s="2">
        <f>IFERROR(VLOOKUP(C309,Merchants!$A$2:$D$41,3,FALSE),"Merchant not found")</f>
        <v/>
      </c>
      <c r="K309" s="2">
        <f>IFERROR(VLOOKUP(C309,Merchants!$A$2:$D$41,4,FALSE),"Merchant not found")</f>
        <v/>
      </c>
      <c r="L309" s="7">
        <f>DATE(YEAR(D309),MONTH(D309),DAY(D309))</f>
        <v/>
      </c>
      <c r="M309" s="5">
        <f>IFERROR(HLOOKUP(F309,Fee_Tiers!$B$1:$E$2,2,FALSE),"Fee tier not found")</f>
        <v/>
      </c>
      <c r="N309" s="8">
        <f>SUMIFS(Daily_Merchant!$C$2:$C$444,Daily_Merchant!$A$2:$A$444,C309,Daily_Merchant!$B$2:$B$444,L309)</f>
        <v/>
      </c>
      <c r="O309" s="2">
        <f>IF(AND(N309&gt;5000,K309&lt;&gt;"East"),"High-Value Merchant Day","")</f>
        <v/>
      </c>
    </row>
    <row r="310">
      <c r="A310" s="2" t="inlineStr">
        <is>
          <t>TXN100308</t>
        </is>
      </c>
      <c r="B310" s="2" t="n">
        <v>228</v>
      </c>
      <c r="C310" s="2" t="n">
        <v>5</v>
      </c>
      <c r="D310" s="12" t="n">
        <v>46037.47430555556</v>
      </c>
      <c r="E310" s="8" t="n">
        <v>49</v>
      </c>
      <c r="F310" s="2" t="inlineStr">
        <is>
          <t>UPI</t>
        </is>
      </c>
      <c r="G310" s="2" t="inlineStr">
        <is>
          <t>captured</t>
        </is>
      </c>
      <c r="H310" s="2" t="n">
        <v>73</v>
      </c>
      <c r="I310" s="2">
        <f>IFERROR(VLOOKUP(C310,Merchants!$A$2:$D$41,2,FALSE),"Merchant not found")</f>
        <v/>
      </c>
      <c r="J310" s="2">
        <f>IFERROR(VLOOKUP(C310,Merchants!$A$2:$D$41,3,FALSE),"Merchant not found")</f>
        <v/>
      </c>
      <c r="K310" s="2">
        <f>IFERROR(VLOOKUP(C310,Merchants!$A$2:$D$41,4,FALSE),"Merchant not found")</f>
        <v/>
      </c>
      <c r="L310" s="7">
        <f>DATE(YEAR(D310),MONTH(D310),DAY(D310))</f>
        <v/>
      </c>
      <c r="M310" s="5">
        <f>IFERROR(HLOOKUP(F310,Fee_Tiers!$B$1:$E$2,2,FALSE),"Fee tier not found")</f>
        <v/>
      </c>
      <c r="N310" s="8">
        <f>SUMIFS(Daily_Merchant!$C$2:$C$444,Daily_Merchant!$A$2:$A$444,C310,Daily_Merchant!$B$2:$B$444,L310)</f>
        <v/>
      </c>
      <c r="O310" s="2">
        <f>IF(AND(N310&gt;5000,K310&lt;&gt;"East"),"High-Value Merchant Day","")</f>
        <v/>
      </c>
    </row>
    <row r="311">
      <c r="A311" s="2" t="inlineStr">
        <is>
          <t>TXN100309</t>
        </is>
      </c>
      <c r="B311" s="2" t="n">
        <v>204</v>
      </c>
      <c r="C311" s="2" t="n">
        <v>21</v>
      </c>
      <c r="D311" s="12" t="n">
        <v>46027.68263888889</v>
      </c>
      <c r="E311" s="8" t="n">
        <v>499</v>
      </c>
      <c r="F311" s="2" t="inlineStr">
        <is>
          <t>UPI</t>
        </is>
      </c>
      <c r="G311" s="2" t="inlineStr">
        <is>
          <t>captured</t>
        </is>
      </c>
      <c r="H311" s="2" t="n">
        <v>83</v>
      </c>
      <c r="I311" s="2">
        <f>IFERROR(VLOOKUP(C311,Merchants!$A$2:$D$41,2,FALSE),"Merchant not found")</f>
        <v/>
      </c>
      <c r="J311" s="2">
        <f>IFERROR(VLOOKUP(C311,Merchants!$A$2:$D$41,3,FALSE),"Merchant not found")</f>
        <v/>
      </c>
      <c r="K311" s="2">
        <f>IFERROR(VLOOKUP(C311,Merchants!$A$2:$D$41,4,FALSE),"Merchant not found")</f>
        <v/>
      </c>
      <c r="L311" s="7">
        <f>DATE(YEAR(D311),MONTH(D311),DAY(D311))</f>
        <v/>
      </c>
      <c r="M311" s="5">
        <f>IFERROR(HLOOKUP(F311,Fee_Tiers!$B$1:$E$2,2,FALSE),"Fee tier not found")</f>
        <v/>
      </c>
      <c r="N311" s="8">
        <f>SUMIFS(Daily_Merchant!$C$2:$C$444,Daily_Merchant!$A$2:$A$444,C311,Daily_Merchant!$B$2:$B$444,L311)</f>
        <v/>
      </c>
      <c r="O311" s="2">
        <f>IF(AND(N311&gt;5000,K311&lt;&gt;"East"),"High-Value Merchant Day","")</f>
        <v/>
      </c>
    </row>
    <row r="312">
      <c r="A312" s="2" t="inlineStr">
        <is>
          <t>TXN100310</t>
        </is>
      </c>
      <c r="B312" s="2" t="n">
        <v>14</v>
      </c>
      <c r="C312" s="2" t="n">
        <v>12</v>
      </c>
      <c r="D312" s="12" t="n">
        <v>46031.29652777778</v>
      </c>
      <c r="E312" s="8" t="n">
        <v>799</v>
      </c>
      <c r="F312" s="2" t="inlineStr">
        <is>
          <t>Netbanking</t>
        </is>
      </c>
      <c r="G312" s="2" t="inlineStr">
        <is>
          <t>captured</t>
        </is>
      </c>
      <c r="H312" s="2" t="n">
        <v>63</v>
      </c>
      <c r="I312" s="2">
        <f>IFERROR(VLOOKUP(C312,Merchants!$A$2:$D$41,2,FALSE),"Merchant not found")</f>
        <v/>
      </c>
      <c r="J312" s="2">
        <f>IFERROR(VLOOKUP(C312,Merchants!$A$2:$D$41,3,FALSE),"Merchant not found")</f>
        <v/>
      </c>
      <c r="K312" s="2">
        <f>IFERROR(VLOOKUP(C312,Merchants!$A$2:$D$41,4,FALSE),"Merchant not found")</f>
        <v/>
      </c>
      <c r="L312" s="7">
        <f>DATE(YEAR(D312),MONTH(D312),DAY(D312))</f>
        <v/>
      </c>
      <c r="M312" s="5">
        <f>IFERROR(HLOOKUP(F312,Fee_Tiers!$B$1:$E$2,2,FALSE),"Fee tier not found")</f>
        <v/>
      </c>
      <c r="N312" s="8">
        <f>SUMIFS(Daily_Merchant!$C$2:$C$444,Daily_Merchant!$A$2:$A$444,C312,Daily_Merchant!$B$2:$B$444,L312)</f>
        <v/>
      </c>
      <c r="O312" s="2">
        <f>IF(AND(N312&gt;5000,K312&lt;&gt;"East"),"High-Value Merchant Day","")</f>
        <v/>
      </c>
    </row>
    <row r="313">
      <c r="A313" s="2" t="inlineStr">
        <is>
          <t>TXN100311</t>
        </is>
      </c>
      <c r="B313" s="2" t="n">
        <v>288</v>
      </c>
      <c r="C313" s="2" t="n">
        <v>8</v>
      </c>
      <c r="D313" s="12" t="n">
        <v>46039.54027777778</v>
      </c>
      <c r="E313" s="8" t="n">
        <v>49</v>
      </c>
      <c r="F313" s="2" t="inlineStr">
        <is>
          <t>UPI</t>
        </is>
      </c>
      <c r="G313" s="2" t="inlineStr">
        <is>
          <t>captured</t>
        </is>
      </c>
      <c r="H313" s="2" t="n">
        <v>33</v>
      </c>
      <c r="I313" s="2">
        <f>IFERROR(VLOOKUP(C313,Merchants!$A$2:$D$41,2,FALSE),"Merchant not found")</f>
        <v/>
      </c>
      <c r="J313" s="2">
        <f>IFERROR(VLOOKUP(C313,Merchants!$A$2:$D$41,3,FALSE),"Merchant not found")</f>
        <v/>
      </c>
      <c r="K313" s="2">
        <f>IFERROR(VLOOKUP(C313,Merchants!$A$2:$D$41,4,FALSE),"Merchant not found")</f>
        <v/>
      </c>
      <c r="L313" s="7">
        <f>DATE(YEAR(D313),MONTH(D313),DAY(D313))</f>
        <v/>
      </c>
      <c r="M313" s="5">
        <f>IFERROR(HLOOKUP(F313,Fee_Tiers!$B$1:$E$2,2,FALSE),"Fee tier not found")</f>
        <v/>
      </c>
      <c r="N313" s="8">
        <f>SUMIFS(Daily_Merchant!$C$2:$C$444,Daily_Merchant!$A$2:$A$444,C313,Daily_Merchant!$B$2:$B$444,L313)</f>
        <v/>
      </c>
      <c r="O313" s="2">
        <f>IF(AND(N313&gt;5000,K313&lt;&gt;"East"),"High-Value Merchant Day","")</f>
        <v/>
      </c>
    </row>
    <row r="314">
      <c r="A314" s="2" t="inlineStr">
        <is>
          <t>TXN100312</t>
        </is>
      </c>
      <c r="B314" s="2" t="n">
        <v>229</v>
      </c>
      <c r="C314" s="2" t="n">
        <v>14</v>
      </c>
      <c r="D314" s="12" t="n">
        <v>46047.36458333334</v>
      </c>
      <c r="E314" s="8" t="n">
        <v>1499</v>
      </c>
      <c r="F314" s="2" t="inlineStr">
        <is>
          <t>UPI</t>
        </is>
      </c>
      <c r="G314" s="2" t="inlineStr">
        <is>
          <t>captured</t>
        </is>
      </c>
      <c r="H314" s="2" t="n">
        <v>78</v>
      </c>
      <c r="I314" s="2">
        <f>IFERROR(VLOOKUP(C314,Merchants!$A$2:$D$41,2,FALSE),"Merchant not found")</f>
        <v/>
      </c>
      <c r="J314" s="2">
        <f>IFERROR(VLOOKUP(C314,Merchants!$A$2:$D$41,3,FALSE),"Merchant not found")</f>
        <v/>
      </c>
      <c r="K314" s="2">
        <f>IFERROR(VLOOKUP(C314,Merchants!$A$2:$D$41,4,FALSE),"Merchant not found")</f>
        <v/>
      </c>
      <c r="L314" s="7">
        <f>DATE(YEAR(D314),MONTH(D314),DAY(D314))</f>
        <v/>
      </c>
      <c r="M314" s="5">
        <f>IFERROR(HLOOKUP(F314,Fee_Tiers!$B$1:$E$2,2,FALSE),"Fee tier not found")</f>
        <v/>
      </c>
      <c r="N314" s="8">
        <f>SUMIFS(Daily_Merchant!$C$2:$C$444,Daily_Merchant!$A$2:$A$444,C314,Daily_Merchant!$B$2:$B$444,L314)</f>
        <v/>
      </c>
      <c r="O314" s="2">
        <f>IF(AND(N314&gt;5000,K314&lt;&gt;"East"),"High-Value Merchant Day","")</f>
        <v/>
      </c>
    </row>
    <row r="315">
      <c r="A315" s="2" t="inlineStr">
        <is>
          <t>TXN100313</t>
        </is>
      </c>
      <c r="B315" s="2" t="n">
        <v>252</v>
      </c>
      <c r="C315" s="2" t="n">
        <v>13</v>
      </c>
      <c r="D315" s="12" t="n">
        <v>46032.95694444444</v>
      </c>
      <c r="E315" s="8" t="n">
        <v>99</v>
      </c>
      <c r="F315" s="2" t="inlineStr">
        <is>
          <t>Wallet</t>
        </is>
      </c>
      <c r="G315" s="2" t="inlineStr">
        <is>
          <t>captured</t>
        </is>
      </c>
      <c r="H315" s="2" t="n">
        <v>15</v>
      </c>
      <c r="I315" s="2">
        <f>IFERROR(VLOOKUP(C315,Merchants!$A$2:$D$41,2,FALSE),"Merchant not found")</f>
        <v/>
      </c>
      <c r="J315" s="2">
        <f>IFERROR(VLOOKUP(C315,Merchants!$A$2:$D$41,3,FALSE),"Merchant not found")</f>
        <v/>
      </c>
      <c r="K315" s="2">
        <f>IFERROR(VLOOKUP(C315,Merchants!$A$2:$D$41,4,FALSE),"Merchant not found")</f>
        <v/>
      </c>
      <c r="L315" s="7">
        <f>DATE(YEAR(D315),MONTH(D315),DAY(D315))</f>
        <v/>
      </c>
      <c r="M315" s="5">
        <f>IFERROR(HLOOKUP(F315,Fee_Tiers!$B$1:$E$2,2,FALSE),"Fee tier not found")</f>
        <v/>
      </c>
      <c r="N315" s="8">
        <f>SUMIFS(Daily_Merchant!$C$2:$C$444,Daily_Merchant!$A$2:$A$444,C315,Daily_Merchant!$B$2:$B$444,L315)</f>
        <v/>
      </c>
      <c r="O315" s="2">
        <f>IF(AND(N315&gt;5000,K315&lt;&gt;"East"),"High-Value Merchant Day","")</f>
        <v/>
      </c>
    </row>
    <row r="316">
      <c r="A316" s="2" t="inlineStr">
        <is>
          <t>TXN100314</t>
        </is>
      </c>
      <c r="B316" s="2" t="n">
        <v>89</v>
      </c>
      <c r="C316" s="2" t="n">
        <v>29</v>
      </c>
      <c r="D316" s="12" t="n">
        <v>46027.10277777778</v>
      </c>
      <c r="E316" s="8" t="n">
        <v>799</v>
      </c>
      <c r="F316" s="2" t="inlineStr">
        <is>
          <t>UPI</t>
        </is>
      </c>
      <c r="G316" s="2" t="inlineStr">
        <is>
          <t>captured</t>
        </is>
      </c>
      <c r="H316" s="2" t="n">
        <v>11</v>
      </c>
      <c r="I316" s="2">
        <f>IFERROR(VLOOKUP(C316,Merchants!$A$2:$D$41,2,FALSE),"Merchant not found")</f>
        <v/>
      </c>
      <c r="J316" s="2">
        <f>IFERROR(VLOOKUP(C316,Merchants!$A$2:$D$41,3,FALSE),"Merchant not found")</f>
        <v/>
      </c>
      <c r="K316" s="2">
        <f>IFERROR(VLOOKUP(C316,Merchants!$A$2:$D$41,4,FALSE),"Merchant not found")</f>
        <v/>
      </c>
      <c r="L316" s="7">
        <f>DATE(YEAR(D316),MONTH(D316),DAY(D316))</f>
        <v/>
      </c>
      <c r="M316" s="5">
        <f>IFERROR(HLOOKUP(F316,Fee_Tiers!$B$1:$E$2,2,FALSE),"Fee tier not found")</f>
        <v/>
      </c>
      <c r="N316" s="8">
        <f>SUMIFS(Daily_Merchant!$C$2:$C$444,Daily_Merchant!$A$2:$A$444,C316,Daily_Merchant!$B$2:$B$444,L316)</f>
        <v/>
      </c>
      <c r="O316" s="2">
        <f>IF(AND(N316&gt;5000,K316&lt;&gt;"East"),"High-Value Merchant Day","")</f>
        <v/>
      </c>
    </row>
    <row r="317">
      <c r="A317" s="2" t="inlineStr">
        <is>
          <t>TXN100315</t>
        </is>
      </c>
      <c r="B317" s="2" t="n">
        <v>164</v>
      </c>
      <c r="C317" s="2" t="n">
        <v>23</v>
      </c>
      <c r="D317" s="12" t="n">
        <v>46048.9125</v>
      </c>
      <c r="E317" s="8" t="n">
        <v>49</v>
      </c>
      <c r="F317" s="2" t="inlineStr">
        <is>
          <t>Netbanking</t>
        </is>
      </c>
      <c r="G317" s="2" t="inlineStr">
        <is>
          <t>captured</t>
        </is>
      </c>
      <c r="H317" s="2" t="n">
        <v>90</v>
      </c>
      <c r="I317" s="2">
        <f>IFERROR(VLOOKUP(C317,Merchants!$A$2:$D$41,2,FALSE),"Merchant not found")</f>
        <v/>
      </c>
      <c r="J317" s="2">
        <f>IFERROR(VLOOKUP(C317,Merchants!$A$2:$D$41,3,FALSE),"Merchant not found")</f>
        <v/>
      </c>
      <c r="K317" s="2">
        <f>IFERROR(VLOOKUP(C317,Merchants!$A$2:$D$41,4,FALSE),"Merchant not found")</f>
        <v/>
      </c>
      <c r="L317" s="7">
        <f>DATE(YEAR(D317),MONTH(D317),DAY(D317))</f>
        <v/>
      </c>
      <c r="M317" s="5">
        <f>IFERROR(HLOOKUP(F317,Fee_Tiers!$B$1:$E$2,2,FALSE),"Fee tier not found")</f>
        <v/>
      </c>
      <c r="N317" s="8">
        <f>SUMIFS(Daily_Merchant!$C$2:$C$444,Daily_Merchant!$A$2:$A$444,C317,Daily_Merchant!$B$2:$B$444,L317)</f>
        <v/>
      </c>
      <c r="O317" s="2">
        <f>IF(AND(N317&gt;5000,K317&lt;&gt;"East"),"High-Value Merchant Day","")</f>
        <v/>
      </c>
    </row>
    <row r="318">
      <c r="A318" s="2" t="inlineStr">
        <is>
          <t>TXN100316</t>
        </is>
      </c>
      <c r="B318" s="2" t="n">
        <v>149</v>
      </c>
      <c r="C318" s="2" t="n">
        <v>20</v>
      </c>
      <c r="D318" s="12" t="n">
        <v>46025.73194444444</v>
      </c>
      <c r="E318" s="8" t="n">
        <v>299</v>
      </c>
      <c r="F318" s="2" t="inlineStr">
        <is>
          <t>Wallet</t>
        </is>
      </c>
      <c r="G318" s="2" t="inlineStr">
        <is>
          <t>captured</t>
        </is>
      </c>
      <c r="H318" s="2" t="n">
        <v>20</v>
      </c>
      <c r="I318" s="2">
        <f>IFERROR(VLOOKUP(C318,Merchants!$A$2:$D$41,2,FALSE),"Merchant not found")</f>
        <v/>
      </c>
      <c r="J318" s="2">
        <f>IFERROR(VLOOKUP(C318,Merchants!$A$2:$D$41,3,FALSE),"Merchant not found")</f>
        <v/>
      </c>
      <c r="K318" s="2">
        <f>IFERROR(VLOOKUP(C318,Merchants!$A$2:$D$41,4,FALSE),"Merchant not found")</f>
        <v/>
      </c>
      <c r="L318" s="7">
        <f>DATE(YEAR(D318),MONTH(D318),DAY(D318))</f>
        <v/>
      </c>
      <c r="M318" s="5">
        <f>IFERROR(HLOOKUP(F318,Fee_Tiers!$B$1:$E$2,2,FALSE),"Fee tier not found")</f>
        <v/>
      </c>
      <c r="N318" s="8">
        <f>SUMIFS(Daily_Merchant!$C$2:$C$444,Daily_Merchant!$A$2:$A$444,C318,Daily_Merchant!$B$2:$B$444,L318)</f>
        <v/>
      </c>
      <c r="O318" s="2">
        <f>IF(AND(N318&gt;5000,K318&lt;&gt;"East"),"High-Value Merchant Day","")</f>
        <v/>
      </c>
    </row>
    <row r="319">
      <c r="A319" s="2" t="inlineStr">
        <is>
          <t>TXN100317</t>
        </is>
      </c>
      <c r="B319" s="2" t="n">
        <v>327</v>
      </c>
      <c r="C319" s="2" t="n">
        <v>12</v>
      </c>
      <c r="D319" s="12" t="n">
        <v>46045.95763888889</v>
      </c>
      <c r="E319" s="8" t="n">
        <v>49</v>
      </c>
      <c r="F319" s="2" t="inlineStr">
        <is>
          <t>Netbanking</t>
        </is>
      </c>
      <c r="G319" s="2" t="inlineStr">
        <is>
          <t>captured</t>
        </is>
      </c>
      <c r="H319" s="2" t="n">
        <v>46</v>
      </c>
      <c r="I319" s="2">
        <f>IFERROR(VLOOKUP(C319,Merchants!$A$2:$D$41,2,FALSE),"Merchant not found")</f>
        <v/>
      </c>
      <c r="J319" s="2">
        <f>IFERROR(VLOOKUP(C319,Merchants!$A$2:$D$41,3,FALSE),"Merchant not found")</f>
        <v/>
      </c>
      <c r="K319" s="2">
        <f>IFERROR(VLOOKUP(C319,Merchants!$A$2:$D$41,4,FALSE),"Merchant not found")</f>
        <v/>
      </c>
      <c r="L319" s="7">
        <f>DATE(YEAR(D319),MONTH(D319),DAY(D319))</f>
        <v/>
      </c>
      <c r="M319" s="5">
        <f>IFERROR(HLOOKUP(F319,Fee_Tiers!$B$1:$E$2,2,FALSE),"Fee tier not found")</f>
        <v/>
      </c>
      <c r="N319" s="8">
        <f>SUMIFS(Daily_Merchant!$C$2:$C$444,Daily_Merchant!$A$2:$A$444,C319,Daily_Merchant!$B$2:$B$444,L319)</f>
        <v/>
      </c>
      <c r="O319" s="2">
        <f>IF(AND(N319&gt;5000,K319&lt;&gt;"East"),"High-Value Merchant Day","")</f>
        <v/>
      </c>
    </row>
    <row r="320">
      <c r="A320" s="2" t="inlineStr">
        <is>
          <t>TXN100318</t>
        </is>
      </c>
      <c r="B320" s="2" t="n">
        <v>103</v>
      </c>
      <c r="C320" s="2" t="n">
        <v>9</v>
      </c>
      <c r="D320" s="12" t="n">
        <v>46039.29652777778</v>
      </c>
      <c r="E320" s="8" t="n">
        <v>149</v>
      </c>
      <c r="F320" s="2" t="inlineStr">
        <is>
          <t>UPI</t>
        </is>
      </c>
      <c r="G320" s="2" t="inlineStr">
        <is>
          <t>captured</t>
        </is>
      </c>
      <c r="H320" s="2" t="n">
        <v>30</v>
      </c>
      <c r="I320" s="2">
        <f>IFERROR(VLOOKUP(C320,Merchants!$A$2:$D$41,2,FALSE),"Merchant not found")</f>
        <v/>
      </c>
      <c r="J320" s="2">
        <f>IFERROR(VLOOKUP(C320,Merchants!$A$2:$D$41,3,FALSE),"Merchant not found")</f>
        <v/>
      </c>
      <c r="K320" s="2">
        <f>IFERROR(VLOOKUP(C320,Merchants!$A$2:$D$41,4,FALSE),"Merchant not found")</f>
        <v/>
      </c>
      <c r="L320" s="7">
        <f>DATE(YEAR(D320),MONTH(D320),DAY(D320))</f>
        <v/>
      </c>
      <c r="M320" s="5">
        <f>IFERROR(HLOOKUP(F320,Fee_Tiers!$B$1:$E$2,2,FALSE),"Fee tier not found")</f>
        <v/>
      </c>
      <c r="N320" s="8">
        <f>SUMIFS(Daily_Merchant!$C$2:$C$444,Daily_Merchant!$A$2:$A$444,C320,Daily_Merchant!$B$2:$B$444,L320)</f>
        <v/>
      </c>
      <c r="O320" s="2">
        <f>IF(AND(N320&gt;5000,K320&lt;&gt;"East"),"High-Value Merchant Day","")</f>
        <v/>
      </c>
    </row>
    <row r="321">
      <c r="A321" s="2" t="inlineStr">
        <is>
          <t>TXN100319</t>
        </is>
      </c>
      <c r="B321" s="2" t="n">
        <v>185</v>
      </c>
      <c r="C321" s="2" t="n">
        <v>36</v>
      </c>
      <c r="D321" s="12" t="n">
        <v>46048.62569444445</v>
      </c>
      <c r="E321" s="8" t="n">
        <v>49</v>
      </c>
      <c r="F321" s="2" t="inlineStr">
        <is>
          <t>Wallet</t>
        </is>
      </c>
      <c r="G321" s="2" t="inlineStr">
        <is>
          <t>captured</t>
        </is>
      </c>
      <c r="H321" s="2" t="n">
        <v>73</v>
      </c>
      <c r="I321" s="2">
        <f>IFERROR(VLOOKUP(C321,Merchants!$A$2:$D$41,2,FALSE),"Merchant not found")</f>
        <v/>
      </c>
      <c r="J321" s="2">
        <f>IFERROR(VLOOKUP(C321,Merchants!$A$2:$D$41,3,FALSE),"Merchant not found")</f>
        <v/>
      </c>
      <c r="K321" s="2">
        <f>IFERROR(VLOOKUP(C321,Merchants!$A$2:$D$41,4,FALSE),"Merchant not found")</f>
        <v/>
      </c>
      <c r="L321" s="7">
        <f>DATE(YEAR(D321),MONTH(D321),DAY(D321))</f>
        <v/>
      </c>
      <c r="M321" s="5">
        <f>IFERROR(HLOOKUP(F321,Fee_Tiers!$B$1:$E$2,2,FALSE),"Fee tier not found")</f>
        <v/>
      </c>
      <c r="N321" s="8">
        <f>SUMIFS(Daily_Merchant!$C$2:$C$444,Daily_Merchant!$A$2:$A$444,C321,Daily_Merchant!$B$2:$B$444,L321)</f>
        <v/>
      </c>
      <c r="O321" s="2">
        <f>IF(AND(N321&gt;5000,K321&lt;&gt;"East"),"High-Value Merchant Day","")</f>
        <v/>
      </c>
    </row>
    <row r="322">
      <c r="A322" s="2" t="inlineStr">
        <is>
          <t>TXN100320</t>
        </is>
      </c>
      <c r="B322" s="2" t="n">
        <v>283</v>
      </c>
      <c r="C322" s="2" t="n">
        <v>9</v>
      </c>
      <c r="D322" s="12" t="n">
        <v>46034.61875</v>
      </c>
      <c r="E322" s="8" t="n">
        <v>299</v>
      </c>
      <c r="F322" s="2" t="inlineStr">
        <is>
          <t>UPI</t>
        </is>
      </c>
      <c r="G322" s="2" t="inlineStr">
        <is>
          <t>captured</t>
        </is>
      </c>
      <c r="H322" s="2" t="n">
        <v>78</v>
      </c>
      <c r="I322" s="2">
        <f>IFERROR(VLOOKUP(C322,Merchants!$A$2:$D$41,2,FALSE),"Merchant not found")</f>
        <v/>
      </c>
      <c r="J322" s="2">
        <f>IFERROR(VLOOKUP(C322,Merchants!$A$2:$D$41,3,FALSE),"Merchant not found")</f>
        <v/>
      </c>
      <c r="K322" s="2">
        <f>IFERROR(VLOOKUP(C322,Merchants!$A$2:$D$41,4,FALSE),"Merchant not found")</f>
        <v/>
      </c>
      <c r="L322" s="7">
        <f>DATE(YEAR(D322),MONTH(D322),DAY(D322))</f>
        <v/>
      </c>
      <c r="M322" s="5">
        <f>IFERROR(HLOOKUP(F322,Fee_Tiers!$B$1:$E$2,2,FALSE),"Fee tier not found")</f>
        <v/>
      </c>
      <c r="N322" s="8">
        <f>SUMIFS(Daily_Merchant!$C$2:$C$444,Daily_Merchant!$A$2:$A$444,C322,Daily_Merchant!$B$2:$B$444,L322)</f>
        <v/>
      </c>
      <c r="O322" s="2">
        <f>IF(AND(N322&gt;5000,K322&lt;&gt;"East"),"High-Value Merchant Day","")</f>
        <v/>
      </c>
    </row>
    <row r="323">
      <c r="A323" s="2" t="inlineStr">
        <is>
          <t>TXN100321</t>
        </is>
      </c>
      <c r="B323" s="2" t="n">
        <v>159</v>
      </c>
      <c r="C323" s="2" t="n">
        <v>26</v>
      </c>
      <c r="D323" s="12" t="n">
        <v>46051.08611111111</v>
      </c>
      <c r="E323" s="8" t="n">
        <v>99</v>
      </c>
      <c r="F323" s="2" t="inlineStr">
        <is>
          <t>UPI</t>
        </is>
      </c>
      <c r="G323" s="2" t="inlineStr">
        <is>
          <t>captured</t>
        </is>
      </c>
      <c r="H323" s="2" t="n">
        <v>91</v>
      </c>
      <c r="I323" s="2">
        <f>IFERROR(VLOOKUP(C323,Merchants!$A$2:$D$41,2,FALSE),"Merchant not found")</f>
        <v/>
      </c>
      <c r="J323" s="2">
        <f>IFERROR(VLOOKUP(C323,Merchants!$A$2:$D$41,3,FALSE),"Merchant not found")</f>
        <v/>
      </c>
      <c r="K323" s="2">
        <f>IFERROR(VLOOKUP(C323,Merchants!$A$2:$D$41,4,FALSE),"Merchant not found")</f>
        <v/>
      </c>
      <c r="L323" s="7">
        <f>DATE(YEAR(D323),MONTH(D323),DAY(D323))</f>
        <v/>
      </c>
      <c r="M323" s="5">
        <f>IFERROR(HLOOKUP(F323,Fee_Tiers!$B$1:$E$2,2,FALSE),"Fee tier not found")</f>
        <v/>
      </c>
      <c r="N323" s="8">
        <f>SUMIFS(Daily_Merchant!$C$2:$C$444,Daily_Merchant!$A$2:$A$444,C323,Daily_Merchant!$B$2:$B$444,L323)</f>
        <v/>
      </c>
      <c r="O323" s="2">
        <f>IF(AND(N323&gt;5000,K323&lt;&gt;"East"),"High-Value Merchant Day","")</f>
        <v/>
      </c>
    </row>
    <row r="324">
      <c r="A324" s="2" t="inlineStr">
        <is>
          <t>TXN100322</t>
        </is>
      </c>
      <c r="B324" s="2" t="n">
        <v>211</v>
      </c>
      <c r="C324" s="2" t="n">
        <v>27</v>
      </c>
      <c r="D324" s="12" t="n">
        <v>46046.64791666667</v>
      </c>
      <c r="E324" s="8" t="n">
        <v>99</v>
      </c>
      <c r="F324" s="2" t="inlineStr">
        <is>
          <t>Wallet</t>
        </is>
      </c>
      <c r="G324" s="2" t="inlineStr">
        <is>
          <t>captured</t>
        </is>
      </c>
      <c r="H324" s="2" t="n">
        <v>73</v>
      </c>
      <c r="I324" s="2">
        <f>IFERROR(VLOOKUP(C324,Merchants!$A$2:$D$41,2,FALSE),"Merchant not found")</f>
        <v/>
      </c>
      <c r="J324" s="2">
        <f>IFERROR(VLOOKUP(C324,Merchants!$A$2:$D$41,3,FALSE),"Merchant not found")</f>
        <v/>
      </c>
      <c r="K324" s="2">
        <f>IFERROR(VLOOKUP(C324,Merchants!$A$2:$D$41,4,FALSE),"Merchant not found")</f>
        <v/>
      </c>
      <c r="L324" s="7">
        <f>DATE(YEAR(D324),MONTH(D324),DAY(D324))</f>
        <v/>
      </c>
      <c r="M324" s="5">
        <f>IFERROR(HLOOKUP(F324,Fee_Tiers!$B$1:$E$2,2,FALSE),"Fee tier not found")</f>
        <v/>
      </c>
      <c r="N324" s="8">
        <f>SUMIFS(Daily_Merchant!$C$2:$C$444,Daily_Merchant!$A$2:$A$444,C324,Daily_Merchant!$B$2:$B$444,L324)</f>
        <v/>
      </c>
      <c r="O324" s="2">
        <f>IF(AND(N324&gt;5000,K324&lt;&gt;"East"),"High-Value Merchant Day","")</f>
        <v/>
      </c>
    </row>
    <row r="325">
      <c r="A325" s="2" t="inlineStr">
        <is>
          <t>TXN100323</t>
        </is>
      </c>
      <c r="B325" s="2" t="n">
        <v>329</v>
      </c>
      <c r="C325" s="2" t="n">
        <v>5</v>
      </c>
      <c r="D325" s="12" t="n">
        <v>46025.18055555555</v>
      </c>
      <c r="E325" s="8" t="n">
        <v>499</v>
      </c>
      <c r="F325" s="2" t="inlineStr">
        <is>
          <t>Netbanking</t>
        </is>
      </c>
      <c r="G325" s="2" t="inlineStr">
        <is>
          <t>captured</t>
        </is>
      </c>
      <c r="H325" s="2" t="n">
        <v>57</v>
      </c>
      <c r="I325" s="2">
        <f>IFERROR(VLOOKUP(C325,Merchants!$A$2:$D$41,2,FALSE),"Merchant not found")</f>
        <v/>
      </c>
      <c r="J325" s="2">
        <f>IFERROR(VLOOKUP(C325,Merchants!$A$2:$D$41,3,FALSE),"Merchant not found")</f>
        <v/>
      </c>
      <c r="K325" s="2">
        <f>IFERROR(VLOOKUP(C325,Merchants!$A$2:$D$41,4,FALSE),"Merchant not found")</f>
        <v/>
      </c>
      <c r="L325" s="7">
        <f>DATE(YEAR(D325),MONTH(D325),DAY(D325))</f>
        <v/>
      </c>
      <c r="M325" s="5">
        <f>IFERROR(HLOOKUP(F325,Fee_Tiers!$B$1:$E$2,2,FALSE),"Fee tier not found")</f>
        <v/>
      </c>
      <c r="N325" s="8">
        <f>SUMIFS(Daily_Merchant!$C$2:$C$444,Daily_Merchant!$A$2:$A$444,C325,Daily_Merchant!$B$2:$B$444,L325)</f>
        <v/>
      </c>
      <c r="O325" s="2">
        <f>IF(AND(N325&gt;5000,K325&lt;&gt;"East"),"High-Value Merchant Day","")</f>
        <v/>
      </c>
    </row>
    <row r="326">
      <c r="A326" s="2" t="inlineStr">
        <is>
          <t>TXN100324</t>
        </is>
      </c>
      <c r="B326" s="2" t="n">
        <v>177</v>
      </c>
      <c r="C326" s="2" t="n">
        <v>9</v>
      </c>
      <c r="D326" s="12" t="n">
        <v>46037.89791666667</v>
      </c>
      <c r="E326" s="8" t="n">
        <v>99</v>
      </c>
      <c r="F326" s="2" t="inlineStr">
        <is>
          <t>UPI</t>
        </is>
      </c>
      <c r="G326" s="2" t="inlineStr">
        <is>
          <t>captured</t>
        </is>
      </c>
      <c r="H326" s="2" t="n">
        <v>99</v>
      </c>
      <c r="I326" s="2">
        <f>IFERROR(VLOOKUP(C326,Merchants!$A$2:$D$41,2,FALSE),"Merchant not found")</f>
        <v/>
      </c>
      <c r="J326" s="2">
        <f>IFERROR(VLOOKUP(C326,Merchants!$A$2:$D$41,3,FALSE),"Merchant not found")</f>
        <v/>
      </c>
      <c r="K326" s="2">
        <f>IFERROR(VLOOKUP(C326,Merchants!$A$2:$D$41,4,FALSE),"Merchant not found")</f>
        <v/>
      </c>
      <c r="L326" s="7">
        <f>DATE(YEAR(D326),MONTH(D326),DAY(D326))</f>
        <v/>
      </c>
      <c r="M326" s="5">
        <f>IFERROR(HLOOKUP(F326,Fee_Tiers!$B$1:$E$2,2,FALSE),"Fee tier not found")</f>
        <v/>
      </c>
      <c r="N326" s="8">
        <f>SUMIFS(Daily_Merchant!$C$2:$C$444,Daily_Merchant!$A$2:$A$444,C326,Daily_Merchant!$B$2:$B$444,L326)</f>
        <v/>
      </c>
      <c r="O326" s="2">
        <f>IF(AND(N326&gt;5000,K326&lt;&gt;"East"),"High-Value Merchant Day","")</f>
        <v/>
      </c>
    </row>
    <row r="327">
      <c r="A327" s="2" t="inlineStr">
        <is>
          <t>TXN100325</t>
        </is>
      </c>
      <c r="B327" s="2" t="n">
        <v>94</v>
      </c>
      <c r="C327" s="2" t="n">
        <v>9</v>
      </c>
      <c r="D327" s="12" t="n">
        <v>46040.85902777778</v>
      </c>
      <c r="E327" s="8" t="n">
        <v>299</v>
      </c>
      <c r="F327" s="2" t="inlineStr">
        <is>
          <t>UPI</t>
        </is>
      </c>
      <c r="G327" s="2" t="inlineStr">
        <is>
          <t>captured</t>
        </is>
      </c>
      <c r="H327" s="2" t="n">
        <v>55</v>
      </c>
      <c r="I327" s="2">
        <f>IFERROR(VLOOKUP(C327,Merchants!$A$2:$D$41,2,FALSE),"Merchant not found")</f>
        <v/>
      </c>
      <c r="J327" s="2">
        <f>IFERROR(VLOOKUP(C327,Merchants!$A$2:$D$41,3,FALSE),"Merchant not found")</f>
        <v/>
      </c>
      <c r="K327" s="2">
        <f>IFERROR(VLOOKUP(C327,Merchants!$A$2:$D$41,4,FALSE),"Merchant not found")</f>
        <v/>
      </c>
      <c r="L327" s="7">
        <f>DATE(YEAR(D327),MONTH(D327),DAY(D327))</f>
        <v/>
      </c>
      <c r="M327" s="5">
        <f>IFERROR(HLOOKUP(F327,Fee_Tiers!$B$1:$E$2,2,FALSE),"Fee tier not found")</f>
        <v/>
      </c>
      <c r="N327" s="8">
        <f>SUMIFS(Daily_Merchant!$C$2:$C$444,Daily_Merchant!$A$2:$A$444,C327,Daily_Merchant!$B$2:$B$444,L327)</f>
        <v/>
      </c>
      <c r="O327" s="2">
        <f>IF(AND(N327&gt;5000,K327&lt;&gt;"East"),"High-Value Merchant Day","")</f>
        <v/>
      </c>
    </row>
    <row r="328">
      <c r="A328" s="2" t="inlineStr">
        <is>
          <t>TXN100326</t>
        </is>
      </c>
      <c r="B328" s="2" t="n">
        <v>64</v>
      </c>
      <c r="C328" s="2" t="n">
        <v>34</v>
      </c>
      <c r="D328" s="12" t="n">
        <v>46039.07847222222</v>
      </c>
      <c r="E328" s="8" t="n">
        <v>299</v>
      </c>
      <c r="F328" s="2" t="inlineStr">
        <is>
          <t>UPI</t>
        </is>
      </c>
      <c r="G328" s="2" t="inlineStr">
        <is>
          <t>captured</t>
        </is>
      </c>
      <c r="H328" s="2" t="n">
        <v>19</v>
      </c>
      <c r="I328" s="2">
        <f>IFERROR(VLOOKUP(C328,Merchants!$A$2:$D$41,2,FALSE),"Merchant not found")</f>
        <v/>
      </c>
      <c r="J328" s="2">
        <f>IFERROR(VLOOKUP(C328,Merchants!$A$2:$D$41,3,FALSE),"Merchant not found")</f>
        <v/>
      </c>
      <c r="K328" s="2">
        <f>IFERROR(VLOOKUP(C328,Merchants!$A$2:$D$41,4,FALSE),"Merchant not found")</f>
        <v/>
      </c>
      <c r="L328" s="7">
        <f>DATE(YEAR(D328),MONTH(D328),DAY(D328))</f>
        <v/>
      </c>
      <c r="M328" s="5">
        <f>IFERROR(HLOOKUP(F328,Fee_Tiers!$B$1:$E$2,2,FALSE),"Fee tier not found")</f>
        <v/>
      </c>
      <c r="N328" s="8">
        <f>SUMIFS(Daily_Merchant!$C$2:$C$444,Daily_Merchant!$A$2:$A$444,C328,Daily_Merchant!$B$2:$B$444,L328)</f>
        <v/>
      </c>
      <c r="O328" s="2">
        <f>IF(AND(N328&gt;5000,K328&lt;&gt;"East"),"High-Value Merchant Day","")</f>
        <v/>
      </c>
    </row>
    <row r="329">
      <c r="A329" s="2" t="inlineStr">
        <is>
          <t>TXN100327</t>
        </is>
      </c>
      <c r="B329" s="2" t="n">
        <v>166</v>
      </c>
      <c r="C329" s="2" t="n">
        <v>15</v>
      </c>
      <c r="D329" s="12" t="n">
        <v>46032.21527777778</v>
      </c>
      <c r="E329" s="8" t="n">
        <v>49</v>
      </c>
      <c r="F329" s="2" t="inlineStr">
        <is>
          <t>UPI</t>
        </is>
      </c>
      <c r="G329" s="2" t="inlineStr">
        <is>
          <t>captured</t>
        </is>
      </c>
      <c r="H329" s="2" t="n">
        <v>44</v>
      </c>
      <c r="I329" s="2">
        <f>IFERROR(VLOOKUP(C329,Merchants!$A$2:$D$41,2,FALSE),"Merchant not found")</f>
        <v/>
      </c>
      <c r="J329" s="2">
        <f>IFERROR(VLOOKUP(C329,Merchants!$A$2:$D$41,3,FALSE),"Merchant not found")</f>
        <v/>
      </c>
      <c r="K329" s="2">
        <f>IFERROR(VLOOKUP(C329,Merchants!$A$2:$D$41,4,FALSE),"Merchant not found")</f>
        <v/>
      </c>
      <c r="L329" s="7">
        <f>DATE(YEAR(D329),MONTH(D329),DAY(D329))</f>
        <v/>
      </c>
      <c r="M329" s="5">
        <f>IFERROR(HLOOKUP(F329,Fee_Tiers!$B$1:$E$2,2,FALSE),"Fee tier not found")</f>
        <v/>
      </c>
      <c r="N329" s="8">
        <f>SUMIFS(Daily_Merchant!$C$2:$C$444,Daily_Merchant!$A$2:$A$444,C329,Daily_Merchant!$B$2:$B$444,L329)</f>
        <v/>
      </c>
      <c r="O329" s="2">
        <f>IF(AND(N329&gt;5000,K329&lt;&gt;"East"),"High-Value Merchant Day","")</f>
        <v/>
      </c>
    </row>
    <row r="330">
      <c r="A330" s="2" t="inlineStr">
        <is>
          <t>TXN100328</t>
        </is>
      </c>
      <c r="B330" s="2" t="n">
        <v>41</v>
      </c>
      <c r="C330" s="2" t="n">
        <v>17</v>
      </c>
      <c r="D330" s="12" t="n">
        <v>46039.4125</v>
      </c>
      <c r="E330" s="8" t="n">
        <v>299</v>
      </c>
      <c r="F330" s="2" t="inlineStr">
        <is>
          <t>Wallet</t>
        </is>
      </c>
      <c r="G330" s="2" t="inlineStr">
        <is>
          <t>captured</t>
        </is>
      </c>
      <c r="H330" s="2" t="n">
        <v>25</v>
      </c>
      <c r="I330" s="2">
        <f>IFERROR(VLOOKUP(C330,Merchants!$A$2:$D$41,2,FALSE),"Merchant not found")</f>
        <v/>
      </c>
      <c r="J330" s="2">
        <f>IFERROR(VLOOKUP(C330,Merchants!$A$2:$D$41,3,FALSE),"Merchant not found")</f>
        <v/>
      </c>
      <c r="K330" s="2">
        <f>IFERROR(VLOOKUP(C330,Merchants!$A$2:$D$41,4,FALSE),"Merchant not found")</f>
        <v/>
      </c>
      <c r="L330" s="7">
        <f>DATE(YEAR(D330),MONTH(D330),DAY(D330))</f>
        <v/>
      </c>
      <c r="M330" s="5">
        <f>IFERROR(HLOOKUP(F330,Fee_Tiers!$B$1:$E$2,2,FALSE),"Fee tier not found")</f>
        <v/>
      </c>
      <c r="N330" s="8">
        <f>SUMIFS(Daily_Merchant!$C$2:$C$444,Daily_Merchant!$A$2:$A$444,C330,Daily_Merchant!$B$2:$B$444,L330)</f>
        <v/>
      </c>
      <c r="O330" s="2">
        <f>IF(AND(N330&gt;5000,K330&lt;&gt;"East"),"High-Value Merchant Day","")</f>
        <v/>
      </c>
    </row>
    <row r="331">
      <c r="A331" s="2" t="inlineStr">
        <is>
          <t>TXN100329</t>
        </is>
      </c>
      <c r="B331" s="2" t="n">
        <v>65</v>
      </c>
      <c r="C331" s="2" t="n">
        <v>20</v>
      </c>
      <c r="D331" s="12" t="n">
        <v>46043.72013888889</v>
      </c>
      <c r="E331" s="8" t="n">
        <v>99</v>
      </c>
      <c r="F331" s="2" t="inlineStr">
        <is>
          <t>Card</t>
        </is>
      </c>
      <c r="G331" s="2" t="inlineStr">
        <is>
          <t>captured</t>
        </is>
      </c>
      <c r="H331" s="2" t="n">
        <v>78</v>
      </c>
      <c r="I331" s="2">
        <f>IFERROR(VLOOKUP(C331,Merchants!$A$2:$D$41,2,FALSE),"Merchant not found")</f>
        <v/>
      </c>
      <c r="J331" s="2">
        <f>IFERROR(VLOOKUP(C331,Merchants!$A$2:$D$41,3,FALSE),"Merchant not found")</f>
        <v/>
      </c>
      <c r="K331" s="2">
        <f>IFERROR(VLOOKUP(C331,Merchants!$A$2:$D$41,4,FALSE),"Merchant not found")</f>
        <v/>
      </c>
      <c r="L331" s="7">
        <f>DATE(YEAR(D331),MONTH(D331),DAY(D331))</f>
        <v/>
      </c>
      <c r="M331" s="5">
        <f>IFERROR(HLOOKUP(F331,Fee_Tiers!$B$1:$E$2,2,FALSE),"Fee tier not found")</f>
        <v/>
      </c>
      <c r="N331" s="8">
        <f>SUMIFS(Daily_Merchant!$C$2:$C$444,Daily_Merchant!$A$2:$A$444,C331,Daily_Merchant!$B$2:$B$444,L331)</f>
        <v/>
      </c>
      <c r="O331" s="2">
        <f>IF(AND(N331&gt;5000,K331&lt;&gt;"East"),"High-Value Merchant Day","")</f>
        <v/>
      </c>
    </row>
    <row r="332">
      <c r="A332" s="2" t="inlineStr">
        <is>
          <t>TXN100330</t>
        </is>
      </c>
      <c r="B332" s="2" t="n">
        <v>329</v>
      </c>
      <c r="C332" s="2" t="n">
        <v>11</v>
      </c>
      <c r="D332" s="12" t="n">
        <v>46040.10555555556</v>
      </c>
      <c r="E332" s="8" t="n">
        <v>499</v>
      </c>
      <c r="F332" s="2" t="inlineStr">
        <is>
          <t>UPI</t>
        </is>
      </c>
      <c r="G332" s="2" t="inlineStr">
        <is>
          <t>captured</t>
        </is>
      </c>
      <c r="H332" s="2" t="n">
        <v>75</v>
      </c>
      <c r="I332" s="2">
        <f>IFERROR(VLOOKUP(C332,Merchants!$A$2:$D$41,2,FALSE),"Merchant not found")</f>
        <v/>
      </c>
      <c r="J332" s="2">
        <f>IFERROR(VLOOKUP(C332,Merchants!$A$2:$D$41,3,FALSE),"Merchant not found")</f>
        <v/>
      </c>
      <c r="K332" s="2">
        <f>IFERROR(VLOOKUP(C332,Merchants!$A$2:$D$41,4,FALSE),"Merchant not found")</f>
        <v/>
      </c>
      <c r="L332" s="7">
        <f>DATE(YEAR(D332),MONTH(D332),DAY(D332))</f>
        <v/>
      </c>
      <c r="M332" s="5">
        <f>IFERROR(HLOOKUP(F332,Fee_Tiers!$B$1:$E$2,2,FALSE),"Fee tier not found")</f>
        <v/>
      </c>
      <c r="N332" s="8">
        <f>SUMIFS(Daily_Merchant!$C$2:$C$444,Daily_Merchant!$A$2:$A$444,C332,Daily_Merchant!$B$2:$B$444,L332)</f>
        <v/>
      </c>
      <c r="O332" s="2">
        <f>IF(AND(N332&gt;5000,K332&lt;&gt;"East"),"High-Value Merchant Day","")</f>
        <v/>
      </c>
    </row>
    <row r="333">
      <c r="A333" s="2" t="inlineStr">
        <is>
          <t>TXN100331</t>
        </is>
      </c>
      <c r="B333" s="2" t="n">
        <v>338</v>
      </c>
      <c r="C333" s="2" t="n">
        <v>40</v>
      </c>
      <c r="D333" s="12" t="n">
        <v>46041.17361111111</v>
      </c>
      <c r="E333" s="8" t="n">
        <v>149</v>
      </c>
      <c r="F333" s="2" t="inlineStr">
        <is>
          <t>UPI</t>
        </is>
      </c>
      <c r="G333" s="2" t="inlineStr">
        <is>
          <t>captured</t>
        </is>
      </c>
      <c r="H333" s="2" t="n">
        <v>92</v>
      </c>
      <c r="I333" s="2">
        <f>IFERROR(VLOOKUP(C333,Merchants!$A$2:$D$41,2,FALSE),"Merchant not found")</f>
        <v/>
      </c>
      <c r="J333" s="2">
        <f>IFERROR(VLOOKUP(C333,Merchants!$A$2:$D$41,3,FALSE),"Merchant not found")</f>
        <v/>
      </c>
      <c r="K333" s="2">
        <f>IFERROR(VLOOKUP(C333,Merchants!$A$2:$D$41,4,FALSE),"Merchant not found")</f>
        <v/>
      </c>
      <c r="L333" s="7">
        <f>DATE(YEAR(D333),MONTH(D333),DAY(D333))</f>
        <v/>
      </c>
      <c r="M333" s="5">
        <f>IFERROR(HLOOKUP(F333,Fee_Tiers!$B$1:$E$2,2,FALSE),"Fee tier not found")</f>
        <v/>
      </c>
      <c r="N333" s="8">
        <f>SUMIFS(Daily_Merchant!$C$2:$C$444,Daily_Merchant!$A$2:$A$444,C333,Daily_Merchant!$B$2:$B$444,L333)</f>
        <v/>
      </c>
      <c r="O333" s="2">
        <f>IF(AND(N333&gt;5000,K333&lt;&gt;"East"),"High-Value Merchant Day","")</f>
        <v/>
      </c>
    </row>
    <row r="334">
      <c r="A334" s="2" t="inlineStr">
        <is>
          <t>TXN100332</t>
        </is>
      </c>
      <c r="B334" s="2" t="n">
        <v>289</v>
      </c>
      <c r="C334" s="2" t="n">
        <v>3</v>
      </c>
      <c r="D334" s="12" t="n">
        <v>46051.80625</v>
      </c>
      <c r="E334" s="8" t="n">
        <v>49</v>
      </c>
      <c r="F334" s="2" t="inlineStr">
        <is>
          <t>Netbanking</t>
        </is>
      </c>
      <c r="G334" s="2" t="inlineStr">
        <is>
          <t>captured</t>
        </is>
      </c>
      <c r="H334" s="2" t="n">
        <v>3</v>
      </c>
      <c r="I334" s="2">
        <f>IFERROR(VLOOKUP(C334,Merchants!$A$2:$D$41,2,FALSE),"Merchant not found")</f>
        <v/>
      </c>
      <c r="J334" s="2">
        <f>IFERROR(VLOOKUP(C334,Merchants!$A$2:$D$41,3,FALSE),"Merchant not found")</f>
        <v/>
      </c>
      <c r="K334" s="2">
        <f>IFERROR(VLOOKUP(C334,Merchants!$A$2:$D$41,4,FALSE),"Merchant not found")</f>
        <v/>
      </c>
      <c r="L334" s="7">
        <f>DATE(YEAR(D334),MONTH(D334),DAY(D334))</f>
        <v/>
      </c>
      <c r="M334" s="5">
        <f>IFERROR(HLOOKUP(F334,Fee_Tiers!$B$1:$E$2,2,FALSE),"Fee tier not found")</f>
        <v/>
      </c>
      <c r="N334" s="8">
        <f>SUMIFS(Daily_Merchant!$C$2:$C$444,Daily_Merchant!$A$2:$A$444,C334,Daily_Merchant!$B$2:$B$444,L334)</f>
        <v/>
      </c>
      <c r="O334" s="2">
        <f>IF(AND(N334&gt;5000,K334&lt;&gt;"East"),"High-Value Merchant Day","")</f>
        <v/>
      </c>
    </row>
    <row r="335">
      <c r="A335" s="2" t="inlineStr">
        <is>
          <t>TXN100333</t>
        </is>
      </c>
      <c r="B335" s="2" t="n">
        <v>296</v>
      </c>
      <c r="C335" s="2" t="n">
        <v>17</v>
      </c>
      <c r="D335" s="12" t="n">
        <v>46025.07013888889</v>
      </c>
      <c r="E335" s="8" t="n">
        <v>99</v>
      </c>
      <c r="F335" s="2" t="inlineStr">
        <is>
          <t>UPI</t>
        </is>
      </c>
      <c r="G335" s="2" t="inlineStr">
        <is>
          <t>captured</t>
        </is>
      </c>
      <c r="H335" s="2" t="n">
        <v>83</v>
      </c>
      <c r="I335" s="2">
        <f>IFERROR(VLOOKUP(C335,Merchants!$A$2:$D$41,2,FALSE),"Merchant not found")</f>
        <v/>
      </c>
      <c r="J335" s="2">
        <f>IFERROR(VLOOKUP(C335,Merchants!$A$2:$D$41,3,FALSE),"Merchant not found")</f>
        <v/>
      </c>
      <c r="K335" s="2">
        <f>IFERROR(VLOOKUP(C335,Merchants!$A$2:$D$41,4,FALSE),"Merchant not found")</f>
        <v/>
      </c>
      <c r="L335" s="7">
        <f>DATE(YEAR(D335),MONTH(D335),DAY(D335))</f>
        <v/>
      </c>
      <c r="M335" s="5">
        <f>IFERROR(HLOOKUP(F335,Fee_Tiers!$B$1:$E$2,2,FALSE),"Fee tier not found")</f>
        <v/>
      </c>
      <c r="N335" s="8">
        <f>SUMIFS(Daily_Merchant!$C$2:$C$444,Daily_Merchant!$A$2:$A$444,C335,Daily_Merchant!$B$2:$B$444,L335)</f>
        <v/>
      </c>
      <c r="O335" s="2">
        <f>IF(AND(N335&gt;5000,K335&lt;&gt;"East"),"High-Value Merchant Day","")</f>
        <v/>
      </c>
    </row>
    <row r="336">
      <c r="A336" s="2" t="inlineStr">
        <is>
          <t>TXN100334</t>
        </is>
      </c>
      <c r="B336" s="2" t="n">
        <v>317</v>
      </c>
      <c r="C336" s="2" t="n">
        <v>2</v>
      </c>
      <c r="D336" s="12" t="n">
        <v>46029.76805555556</v>
      </c>
      <c r="E336" s="8" t="n">
        <v>499</v>
      </c>
      <c r="F336" s="2" t="inlineStr">
        <is>
          <t>Card</t>
        </is>
      </c>
      <c r="G336" s="2" t="inlineStr">
        <is>
          <t>captured</t>
        </is>
      </c>
      <c r="H336" s="2" t="n">
        <v>63</v>
      </c>
      <c r="I336" s="2">
        <f>IFERROR(VLOOKUP(C336,Merchants!$A$2:$D$41,2,FALSE),"Merchant not found")</f>
        <v/>
      </c>
      <c r="J336" s="2">
        <f>IFERROR(VLOOKUP(C336,Merchants!$A$2:$D$41,3,FALSE),"Merchant not found")</f>
        <v/>
      </c>
      <c r="K336" s="2">
        <f>IFERROR(VLOOKUP(C336,Merchants!$A$2:$D$41,4,FALSE),"Merchant not found")</f>
        <v/>
      </c>
      <c r="L336" s="7">
        <f>DATE(YEAR(D336),MONTH(D336),DAY(D336))</f>
        <v/>
      </c>
      <c r="M336" s="5">
        <f>IFERROR(HLOOKUP(F336,Fee_Tiers!$B$1:$E$2,2,FALSE),"Fee tier not found")</f>
        <v/>
      </c>
      <c r="N336" s="8">
        <f>SUMIFS(Daily_Merchant!$C$2:$C$444,Daily_Merchant!$A$2:$A$444,C336,Daily_Merchant!$B$2:$B$444,L336)</f>
        <v/>
      </c>
      <c r="O336" s="2">
        <f>IF(AND(N336&gt;5000,K336&lt;&gt;"East"),"High-Value Merchant Day","")</f>
        <v/>
      </c>
    </row>
    <row r="337">
      <c r="A337" s="2" t="inlineStr">
        <is>
          <t>TXN100335</t>
        </is>
      </c>
      <c r="B337" s="2" t="n">
        <v>149</v>
      </c>
      <c r="C337" s="2" t="n">
        <v>20</v>
      </c>
      <c r="D337" s="12" t="n">
        <v>46051.85694444444</v>
      </c>
      <c r="E337" s="8" t="n">
        <v>499</v>
      </c>
      <c r="F337" s="2" t="inlineStr">
        <is>
          <t>Card</t>
        </is>
      </c>
      <c r="G337" s="2" t="inlineStr">
        <is>
          <t>captured</t>
        </is>
      </c>
      <c r="H337" s="2" t="n">
        <v>61</v>
      </c>
      <c r="I337" s="2">
        <f>IFERROR(VLOOKUP(C337,Merchants!$A$2:$D$41,2,FALSE),"Merchant not found")</f>
        <v/>
      </c>
      <c r="J337" s="2">
        <f>IFERROR(VLOOKUP(C337,Merchants!$A$2:$D$41,3,FALSE),"Merchant not found")</f>
        <v/>
      </c>
      <c r="K337" s="2">
        <f>IFERROR(VLOOKUP(C337,Merchants!$A$2:$D$41,4,FALSE),"Merchant not found")</f>
        <v/>
      </c>
      <c r="L337" s="7">
        <f>DATE(YEAR(D337),MONTH(D337),DAY(D337))</f>
        <v/>
      </c>
      <c r="M337" s="5">
        <f>IFERROR(HLOOKUP(F337,Fee_Tiers!$B$1:$E$2,2,FALSE),"Fee tier not found")</f>
        <v/>
      </c>
      <c r="N337" s="8">
        <f>SUMIFS(Daily_Merchant!$C$2:$C$444,Daily_Merchant!$A$2:$A$444,C337,Daily_Merchant!$B$2:$B$444,L337)</f>
        <v/>
      </c>
      <c r="O337" s="2">
        <f>IF(AND(N337&gt;5000,K337&lt;&gt;"East"),"High-Value Merchant Day","")</f>
        <v/>
      </c>
    </row>
    <row r="338">
      <c r="A338" s="2" t="inlineStr">
        <is>
          <t>TXN100336</t>
        </is>
      </c>
      <c r="B338" s="2" t="n">
        <v>153</v>
      </c>
      <c r="C338" s="2" t="n">
        <v>30</v>
      </c>
      <c r="D338" s="12" t="n">
        <v>46030.89236111111</v>
      </c>
      <c r="E338" s="8" t="n">
        <v>299</v>
      </c>
      <c r="F338" s="2" t="inlineStr">
        <is>
          <t>UPI</t>
        </is>
      </c>
      <c r="G338" s="2" t="inlineStr">
        <is>
          <t>captured</t>
        </is>
      </c>
      <c r="H338" s="2" t="n">
        <v>9</v>
      </c>
      <c r="I338" s="2">
        <f>IFERROR(VLOOKUP(C338,Merchants!$A$2:$D$41,2,FALSE),"Merchant not found")</f>
        <v/>
      </c>
      <c r="J338" s="2">
        <f>IFERROR(VLOOKUP(C338,Merchants!$A$2:$D$41,3,FALSE),"Merchant not found")</f>
        <v/>
      </c>
      <c r="K338" s="2">
        <f>IFERROR(VLOOKUP(C338,Merchants!$A$2:$D$41,4,FALSE),"Merchant not found")</f>
        <v/>
      </c>
      <c r="L338" s="7">
        <f>DATE(YEAR(D338),MONTH(D338),DAY(D338))</f>
        <v/>
      </c>
      <c r="M338" s="5">
        <f>IFERROR(HLOOKUP(F338,Fee_Tiers!$B$1:$E$2,2,FALSE),"Fee tier not found")</f>
        <v/>
      </c>
      <c r="N338" s="8">
        <f>SUMIFS(Daily_Merchant!$C$2:$C$444,Daily_Merchant!$A$2:$A$444,C338,Daily_Merchant!$B$2:$B$444,L338)</f>
        <v/>
      </c>
      <c r="O338" s="2">
        <f>IF(AND(N338&gt;5000,K338&lt;&gt;"East"),"High-Value Merchant Day","")</f>
        <v/>
      </c>
    </row>
    <row r="339">
      <c r="A339" s="2" t="inlineStr">
        <is>
          <t>TXN100337</t>
        </is>
      </c>
      <c r="B339" s="2" t="n">
        <v>226</v>
      </c>
      <c r="C339" s="2" t="n">
        <v>27</v>
      </c>
      <c r="D339" s="12" t="n">
        <v>46045.04861111111</v>
      </c>
      <c r="E339" s="8" t="n">
        <v>2999</v>
      </c>
      <c r="F339" s="2" t="inlineStr">
        <is>
          <t>UPI</t>
        </is>
      </c>
      <c r="G339" s="2" t="inlineStr">
        <is>
          <t>chargeback</t>
        </is>
      </c>
      <c r="H339" s="2" t="n">
        <v>61</v>
      </c>
      <c r="I339" s="2">
        <f>IFERROR(VLOOKUP(C339,Merchants!$A$2:$D$41,2,FALSE),"Merchant not found")</f>
        <v/>
      </c>
      <c r="J339" s="2">
        <f>IFERROR(VLOOKUP(C339,Merchants!$A$2:$D$41,3,FALSE),"Merchant not found")</f>
        <v/>
      </c>
      <c r="K339" s="2">
        <f>IFERROR(VLOOKUP(C339,Merchants!$A$2:$D$41,4,FALSE),"Merchant not found")</f>
        <v/>
      </c>
      <c r="L339" s="7">
        <f>DATE(YEAR(D339),MONTH(D339),DAY(D339))</f>
        <v/>
      </c>
      <c r="M339" s="5">
        <f>IFERROR(HLOOKUP(F339,Fee_Tiers!$B$1:$E$2,2,FALSE),"Fee tier not found")</f>
        <v/>
      </c>
      <c r="N339" s="8">
        <f>SUMIFS(Daily_Merchant!$C$2:$C$444,Daily_Merchant!$A$2:$A$444,C339,Daily_Merchant!$B$2:$B$444,L339)</f>
        <v/>
      </c>
      <c r="O339" s="2">
        <f>IF(AND(N339&gt;5000,K339&lt;&gt;"East"),"High-Value Merchant Day","")</f>
        <v/>
      </c>
    </row>
    <row r="340">
      <c r="A340" s="2" t="inlineStr">
        <is>
          <t>TXN100338</t>
        </is>
      </c>
      <c r="B340" s="2" t="n">
        <v>311</v>
      </c>
      <c r="C340" s="2" t="n">
        <v>10</v>
      </c>
      <c r="D340" s="12" t="n">
        <v>46037.26458333333</v>
      </c>
      <c r="E340" s="8" t="n">
        <v>2999</v>
      </c>
      <c r="F340" s="2" t="inlineStr">
        <is>
          <t>UPI</t>
        </is>
      </c>
      <c r="G340" s="2" t="inlineStr">
        <is>
          <t>captured</t>
        </is>
      </c>
      <c r="H340" s="2" t="n">
        <v>40</v>
      </c>
      <c r="I340" s="2">
        <f>IFERROR(VLOOKUP(C340,Merchants!$A$2:$D$41,2,FALSE),"Merchant not found")</f>
        <v/>
      </c>
      <c r="J340" s="2">
        <f>IFERROR(VLOOKUP(C340,Merchants!$A$2:$D$41,3,FALSE),"Merchant not found")</f>
        <v/>
      </c>
      <c r="K340" s="2">
        <f>IFERROR(VLOOKUP(C340,Merchants!$A$2:$D$41,4,FALSE),"Merchant not found")</f>
        <v/>
      </c>
      <c r="L340" s="7">
        <f>DATE(YEAR(D340),MONTH(D340),DAY(D340))</f>
        <v/>
      </c>
      <c r="M340" s="5">
        <f>IFERROR(HLOOKUP(F340,Fee_Tiers!$B$1:$E$2,2,FALSE),"Fee tier not found")</f>
        <v/>
      </c>
      <c r="N340" s="8">
        <f>SUMIFS(Daily_Merchant!$C$2:$C$444,Daily_Merchant!$A$2:$A$444,C340,Daily_Merchant!$B$2:$B$444,L340)</f>
        <v/>
      </c>
      <c r="O340" s="2">
        <f>IF(AND(N340&gt;5000,K340&lt;&gt;"East"),"High-Value Merchant Day","")</f>
        <v/>
      </c>
    </row>
    <row r="341">
      <c r="A341" s="2" t="inlineStr">
        <is>
          <t>TXN100339</t>
        </is>
      </c>
      <c r="B341" s="2" t="n">
        <v>177</v>
      </c>
      <c r="C341" s="2" t="n">
        <v>26</v>
      </c>
      <c r="D341" s="12" t="n">
        <v>46050.93055555555</v>
      </c>
      <c r="E341" s="8" t="n">
        <v>1499</v>
      </c>
      <c r="F341" s="2" t="inlineStr">
        <is>
          <t>UPI</t>
        </is>
      </c>
      <c r="G341" s="2" t="inlineStr">
        <is>
          <t>captured</t>
        </is>
      </c>
      <c r="H341" s="2" t="n">
        <v>16</v>
      </c>
      <c r="I341" s="2">
        <f>IFERROR(VLOOKUP(C341,Merchants!$A$2:$D$41,2,FALSE),"Merchant not found")</f>
        <v/>
      </c>
      <c r="J341" s="2">
        <f>IFERROR(VLOOKUP(C341,Merchants!$A$2:$D$41,3,FALSE),"Merchant not found")</f>
        <v/>
      </c>
      <c r="K341" s="2">
        <f>IFERROR(VLOOKUP(C341,Merchants!$A$2:$D$41,4,FALSE),"Merchant not found")</f>
        <v/>
      </c>
      <c r="L341" s="7">
        <f>DATE(YEAR(D341),MONTH(D341),DAY(D341))</f>
        <v/>
      </c>
      <c r="M341" s="5">
        <f>IFERROR(HLOOKUP(F341,Fee_Tiers!$B$1:$E$2,2,FALSE),"Fee tier not found")</f>
        <v/>
      </c>
      <c r="N341" s="8">
        <f>SUMIFS(Daily_Merchant!$C$2:$C$444,Daily_Merchant!$A$2:$A$444,C341,Daily_Merchant!$B$2:$B$444,L341)</f>
        <v/>
      </c>
      <c r="O341" s="2">
        <f>IF(AND(N341&gt;5000,K341&lt;&gt;"East"),"High-Value Merchant Day","")</f>
        <v/>
      </c>
    </row>
    <row r="342">
      <c r="A342" s="2" t="inlineStr">
        <is>
          <t>TXN100340</t>
        </is>
      </c>
      <c r="B342" s="2" t="n">
        <v>288</v>
      </c>
      <c r="C342" s="2" t="n">
        <v>7</v>
      </c>
      <c r="D342" s="12" t="n">
        <v>46047.48055555556</v>
      </c>
      <c r="E342" s="8" t="n">
        <v>99</v>
      </c>
      <c r="F342" s="2" t="inlineStr">
        <is>
          <t>Netbanking</t>
        </is>
      </c>
      <c r="G342" s="2" t="inlineStr">
        <is>
          <t>captured</t>
        </is>
      </c>
      <c r="H342" s="2" t="n">
        <v>40</v>
      </c>
      <c r="I342" s="2">
        <f>IFERROR(VLOOKUP(C342,Merchants!$A$2:$D$41,2,FALSE),"Merchant not found")</f>
        <v/>
      </c>
      <c r="J342" s="2">
        <f>IFERROR(VLOOKUP(C342,Merchants!$A$2:$D$41,3,FALSE),"Merchant not found")</f>
        <v/>
      </c>
      <c r="K342" s="2">
        <f>IFERROR(VLOOKUP(C342,Merchants!$A$2:$D$41,4,FALSE),"Merchant not found")</f>
        <v/>
      </c>
      <c r="L342" s="7">
        <f>DATE(YEAR(D342),MONTH(D342),DAY(D342))</f>
        <v/>
      </c>
      <c r="M342" s="5">
        <f>IFERROR(HLOOKUP(F342,Fee_Tiers!$B$1:$E$2,2,FALSE),"Fee tier not found")</f>
        <v/>
      </c>
      <c r="N342" s="8">
        <f>SUMIFS(Daily_Merchant!$C$2:$C$444,Daily_Merchant!$A$2:$A$444,C342,Daily_Merchant!$B$2:$B$444,L342)</f>
        <v/>
      </c>
      <c r="O342" s="2">
        <f>IF(AND(N342&gt;5000,K342&lt;&gt;"East"),"High-Value Merchant Day","")</f>
        <v/>
      </c>
    </row>
    <row r="343">
      <c r="A343" s="2" t="inlineStr">
        <is>
          <t>TXN100341</t>
        </is>
      </c>
      <c r="B343" s="2" t="n">
        <v>137</v>
      </c>
      <c r="C343" s="2" t="n">
        <v>29</v>
      </c>
      <c r="D343" s="12" t="n">
        <v>46030.58819444444</v>
      </c>
      <c r="E343" s="8" t="n">
        <v>2999</v>
      </c>
      <c r="F343" s="2" t="inlineStr">
        <is>
          <t>UPI</t>
        </is>
      </c>
      <c r="G343" s="2" t="inlineStr">
        <is>
          <t>failed</t>
        </is>
      </c>
      <c r="H343" s="2" t="n">
        <v>31</v>
      </c>
      <c r="I343" s="2">
        <f>IFERROR(VLOOKUP(C343,Merchants!$A$2:$D$41,2,FALSE),"Merchant not found")</f>
        <v/>
      </c>
      <c r="J343" s="2">
        <f>IFERROR(VLOOKUP(C343,Merchants!$A$2:$D$41,3,FALSE),"Merchant not found")</f>
        <v/>
      </c>
      <c r="K343" s="2">
        <f>IFERROR(VLOOKUP(C343,Merchants!$A$2:$D$41,4,FALSE),"Merchant not found")</f>
        <v/>
      </c>
      <c r="L343" s="7">
        <f>DATE(YEAR(D343),MONTH(D343),DAY(D343))</f>
        <v/>
      </c>
      <c r="M343" s="5">
        <f>IFERROR(HLOOKUP(F343,Fee_Tiers!$B$1:$E$2,2,FALSE),"Fee tier not found")</f>
        <v/>
      </c>
      <c r="N343" s="8">
        <f>SUMIFS(Daily_Merchant!$C$2:$C$444,Daily_Merchant!$A$2:$A$444,C343,Daily_Merchant!$B$2:$B$444,L343)</f>
        <v/>
      </c>
      <c r="O343" s="2">
        <f>IF(AND(N343&gt;5000,K343&lt;&gt;"East"),"High-Value Merchant Day","")</f>
        <v/>
      </c>
    </row>
    <row r="344">
      <c r="A344" s="2" t="inlineStr">
        <is>
          <t>TXN100342</t>
        </is>
      </c>
      <c r="B344" s="2" t="n">
        <v>149</v>
      </c>
      <c r="C344" s="2" t="n">
        <v>25</v>
      </c>
      <c r="D344" s="12" t="n">
        <v>46027.12708333333</v>
      </c>
      <c r="E344" s="8" t="n">
        <v>1499</v>
      </c>
      <c r="F344" s="2" t="inlineStr">
        <is>
          <t>UPI</t>
        </is>
      </c>
      <c r="G344" s="2" t="inlineStr">
        <is>
          <t>captured</t>
        </is>
      </c>
      <c r="H344" s="2" t="n">
        <v>78</v>
      </c>
      <c r="I344" s="2">
        <f>IFERROR(VLOOKUP(C344,Merchants!$A$2:$D$41,2,FALSE),"Merchant not found")</f>
        <v/>
      </c>
      <c r="J344" s="2">
        <f>IFERROR(VLOOKUP(C344,Merchants!$A$2:$D$41,3,FALSE),"Merchant not found")</f>
        <v/>
      </c>
      <c r="K344" s="2">
        <f>IFERROR(VLOOKUP(C344,Merchants!$A$2:$D$41,4,FALSE),"Merchant not found")</f>
        <v/>
      </c>
      <c r="L344" s="7">
        <f>DATE(YEAR(D344),MONTH(D344),DAY(D344))</f>
        <v/>
      </c>
      <c r="M344" s="5">
        <f>IFERROR(HLOOKUP(F344,Fee_Tiers!$B$1:$E$2,2,FALSE),"Fee tier not found")</f>
        <v/>
      </c>
      <c r="N344" s="8">
        <f>SUMIFS(Daily_Merchant!$C$2:$C$444,Daily_Merchant!$A$2:$A$444,C344,Daily_Merchant!$B$2:$B$444,L344)</f>
        <v/>
      </c>
      <c r="O344" s="2">
        <f>IF(AND(N344&gt;5000,K344&lt;&gt;"East"),"High-Value Merchant Day","")</f>
        <v/>
      </c>
    </row>
    <row r="345">
      <c r="A345" s="2" t="inlineStr">
        <is>
          <t>TXN100343</t>
        </is>
      </c>
      <c r="B345" s="2" t="n">
        <v>82</v>
      </c>
      <c r="C345" s="2" t="n">
        <v>21</v>
      </c>
      <c r="D345" s="12" t="n">
        <v>46036.32986111111</v>
      </c>
      <c r="E345" s="8" t="n">
        <v>49</v>
      </c>
      <c r="F345" s="2" t="inlineStr">
        <is>
          <t>Wallet</t>
        </is>
      </c>
      <c r="G345" s="2" t="inlineStr">
        <is>
          <t>captured</t>
        </is>
      </c>
      <c r="H345" s="2" t="n">
        <v>73</v>
      </c>
      <c r="I345" s="2">
        <f>IFERROR(VLOOKUP(C345,Merchants!$A$2:$D$41,2,FALSE),"Merchant not found")</f>
        <v/>
      </c>
      <c r="J345" s="2">
        <f>IFERROR(VLOOKUP(C345,Merchants!$A$2:$D$41,3,FALSE),"Merchant not found")</f>
        <v/>
      </c>
      <c r="K345" s="2">
        <f>IFERROR(VLOOKUP(C345,Merchants!$A$2:$D$41,4,FALSE),"Merchant not found")</f>
        <v/>
      </c>
      <c r="L345" s="7">
        <f>DATE(YEAR(D345),MONTH(D345),DAY(D345))</f>
        <v/>
      </c>
      <c r="M345" s="5">
        <f>IFERROR(HLOOKUP(F345,Fee_Tiers!$B$1:$E$2,2,FALSE),"Fee tier not found")</f>
        <v/>
      </c>
      <c r="N345" s="8">
        <f>SUMIFS(Daily_Merchant!$C$2:$C$444,Daily_Merchant!$A$2:$A$444,C345,Daily_Merchant!$B$2:$B$444,L345)</f>
        <v/>
      </c>
      <c r="O345" s="2">
        <f>IF(AND(N345&gt;5000,K345&lt;&gt;"East"),"High-Value Merchant Day","")</f>
        <v/>
      </c>
    </row>
    <row r="346">
      <c r="A346" s="2" t="inlineStr">
        <is>
          <t>TXN100344</t>
        </is>
      </c>
      <c r="B346" s="2" t="n">
        <v>82</v>
      </c>
      <c r="C346" s="2" t="n">
        <v>32</v>
      </c>
      <c r="D346" s="12" t="n">
        <v>46046.425</v>
      </c>
      <c r="E346" s="8" t="n">
        <v>49</v>
      </c>
      <c r="F346" s="2" t="inlineStr">
        <is>
          <t>UPI</t>
        </is>
      </c>
      <c r="G346" s="2" t="inlineStr">
        <is>
          <t>captured</t>
        </is>
      </c>
      <c r="H346" s="2" t="n">
        <v>65</v>
      </c>
      <c r="I346" s="2">
        <f>IFERROR(VLOOKUP(C346,Merchants!$A$2:$D$41,2,FALSE),"Merchant not found")</f>
        <v/>
      </c>
      <c r="J346" s="2">
        <f>IFERROR(VLOOKUP(C346,Merchants!$A$2:$D$41,3,FALSE),"Merchant not found")</f>
        <v/>
      </c>
      <c r="K346" s="2">
        <f>IFERROR(VLOOKUP(C346,Merchants!$A$2:$D$41,4,FALSE),"Merchant not found")</f>
        <v/>
      </c>
      <c r="L346" s="7">
        <f>DATE(YEAR(D346),MONTH(D346),DAY(D346))</f>
        <v/>
      </c>
      <c r="M346" s="5">
        <f>IFERROR(HLOOKUP(F346,Fee_Tiers!$B$1:$E$2,2,FALSE),"Fee tier not found")</f>
        <v/>
      </c>
      <c r="N346" s="8">
        <f>SUMIFS(Daily_Merchant!$C$2:$C$444,Daily_Merchant!$A$2:$A$444,C346,Daily_Merchant!$B$2:$B$444,L346)</f>
        <v/>
      </c>
      <c r="O346" s="2">
        <f>IF(AND(N346&gt;5000,K346&lt;&gt;"East"),"High-Value Merchant Day","")</f>
        <v/>
      </c>
    </row>
    <row r="347">
      <c r="A347" s="2" t="inlineStr">
        <is>
          <t>TXN100345</t>
        </is>
      </c>
      <c r="B347" s="2" t="n">
        <v>158</v>
      </c>
      <c r="C347" s="2" t="n">
        <v>32</v>
      </c>
      <c r="D347" s="12" t="n">
        <v>46037.66388888889</v>
      </c>
      <c r="E347" s="8" t="n">
        <v>99</v>
      </c>
      <c r="F347" s="2" t="inlineStr">
        <is>
          <t>Wallet</t>
        </is>
      </c>
      <c r="G347" s="2" t="inlineStr">
        <is>
          <t>captured</t>
        </is>
      </c>
      <c r="H347" s="2" t="n">
        <v>2</v>
      </c>
      <c r="I347" s="2">
        <f>IFERROR(VLOOKUP(C347,Merchants!$A$2:$D$41,2,FALSE),"Merchant not found")</f>
        <v/>
      </c>
      <c r="J347" s="2">
        <f>IFERROR(VLOOKUP(C347,Merchants!$A$2:$D$41,3,FALSE),"Merchant not found")</f>
        <v/>
      </c>
      <c r="K347" s="2">
        <f>IFERROR(VLOOKUP(C347,Merchants!$A$2:$D$41,4,FALSE),"Merchant not found")</f>
        <v/>
      </c>
      <c r="L347" s="7">
        <f>DATE(YEAR(D347),MONTH(D347),DAY(D347))</f>
        <v/>
      </c>
      <c r="M347" s="5">
        <f>IFERROR(HLOOKUP(F347,Fee_Tiers!$B$1:$E$2,2,FALSE),"Fee tier not found")</f>
        <v/>
      </c>
      <c r="N347" s="8">
        <f>SUMIFS(Daily_Merchant!$C$2:$C$444,Daily_Merchant!$A$2:$A$444,C347,Daily_Merchant!$B$2:$B$444,L347)</f>
        <v/>
      </c>
      <c r="O347" s="2">
        <f>IF(AND(N347&gt;5000,K347&lt;&gt;"East"),"High-Value Merchant Day","")</f>
        <v/>
      </c>
    </row>
    <row r="348">
      <c r="A348" s="2" t="inlineStr">
        <is>
          <t>TXN100346</t>
        </is>
      </c>
      <c r="B348" s="2" t="n">
        <v>235</v>
      </c>
      <c r="C348" s="2" t="n">
        <v>16</v>
      </c>
      <c r="D348" s="12" t="n">
        <v>46025.52222222222</v>
      </c>
      <c r="E348" s="8" t="n">
        <v>99</v>
      </c>
      <c r="F348" s="2" t="inlineStr">
        <is>
          <t>UPI</t>
        </is>
      </c>
      <c r="G348" s="2" t="inlineStr">
        <is>
          <t>captured</t>
        </is>
      </c>
      <c r="H348" s="2" t="n">
        <v>27</v>
      </c>
      <c r="I348" s="2">
        <f>IFERROR(VLOOKUP(C348,Merchants!$A$2:$D$41,2,FALSE),"Merchant not found")</f>
        <v/>
      </c>
      <c r="J348" s="2">
        <f>IFERROR(VLOOKUP(C348,Merchants!$A$2:$D$41,3,FALSE),"Merchant not found")</f>
        <v/>
      </c>
      <c r="K348" s="2">
        <f>IFERROR(VLOOKUP(C348,Merchants!$A$2:$D$41,4,FALSE),"Merchant not found")</f>
        <v/>
      </c>
      <c r="L348" s="7">
        <f>DATE(YEAR(D348),MONTH(D348),DAY(D348))</f>
        <v/>
      </c>
      <c r="M348" s="5">
        <f>IFERROR(HLOOKUP(F348,Fee_Tiers!$B$1:$E$2,2,FALSE),"Fee tier not found")</f>
        <v/>
      </c>
      <c r="N348" s="8">
        <f>SUMIFS(Daily_Merchant!$C$2:$C$444,Daily_Merchant!$A$2:$A$444,C348,Daily_Merchant!$B$2:$B$444,L348)</f>
        <v/>
      </c>
      <c r="O348" s="2">
        <f>IF(AND(N348&gt;5000,K348&lt;&gt;"East"),"High-Value Merchant Day","")</f>
        <v/>
      </c>
    </row>
    <row r="349">
      <c r="A349" s="2" t="inlineStr">
        <is>
          <t>TXN100347</t>
        </is>
      </c>
      <c r="B349" s="2" t="n">
        <v>26</v>
      </c>
      <c r="C349" s="2" t="n">
        <v>19</v>
      </c>
      <c r="D349" s="12" t="n">
        <v>46041.46041666667</v>
      </c>
      <c r="E349" s="8" t="n">
        <v>99</v>
      </c>
      <c r="F349" s="2" t="inlineStr">
        <is>
          <t>Wallet</t>
        </is>
      </c>
      <c r="G349" s="2" t="inlineStr">
        <is>
          <t>captured</t>
        </is>
      </c>
      <c r="H349" s="2" t="n">
        <v>63</v>
      </c>
      <c r="I349" s="2">
        <f>IFERROR(VLOOKUP(C349,Merchants!$A$2:$D$41,2,FALSE),"Merchant not found")</f>
        <v/>
      </c>
      <c r="J349" s="2">
        <f>IFERROR(VLOOKUP(C349,Merchants!$A$2:$D$41,3,FALSE),"Merchant not found")</f>
        <v/>
      </c>
      <c r="K349" s="2">
        <f>IFERROR(VLOOKUP(C349,Merchants!$A$2:$D$41,4,FALSE),"Merchant not found")</f>
        <v/>
      </c>
      <c r="L349" s="7">
        <f>DATE(YEAR(D349),MONTH(D349),DAY(D349))</f>
        <v/>
      </c>
      <c r="M349" s="5">
        <f>IFERROR(HLOOKUP(F349,Fee_Tiers!$B$1:$E$2,2,FALSE),"Fee tier not found")</f>
        <v/>
      </c>
      <c r="N349" s="8">
        <f>SUMIFS(Daily_Merchant!$C$2:$C$444,Daily_Merchant!$A$2:$A$444,C349,Daily_Merchant!$B$2:$B$444,L349)</f>
        <v/>
      </c>
      <c r="O349" s="2">
        <f>IF(AND(N349&gt;5000,K349&lt;&gt;"East"),"High-Value Merchant Day","")</f>
        <v/>
      </c>
    </row>
    <row r="350">
      <c r="A350" s="2" t="inlineStr">
        <is>
          <t>TXN100348</t>
        </is>
      </c>
      <c r="B350" s="2" t="n">
        <v>241</v>
      </c>
      <c r="C350" s="2" t="n">
        <v>19</v>
      </c>
      <c r="D350" s="12" t="n">
        <v>46042.86319444444</v>
      </c>
      <c r="E350" s="8" t="n">
        <v>299</v>
      </c>
      <c r="F350" s="2" t="inlineStr">
        <is>
          <t>UPI</t>
        </is>
      </c>
      <c r="G350" s="2" t="inlineStr">
        <is>
          <t>captured</t>
        </is>
      </c>
      <c r="H350" s="2" t="n">
        <v>68</v>
      </c>
      <c r="I350" s="2">
        <f>IFERROR(VLOOKUP(C350,Merchants!$A$2:$D$41,2,FALSE),"Merchant not found")</f>
        <v/>
      </c>
      <c r="J350" s="2">
        <f>IFERROR(VLOOKUP(C350,Merchants!$A$2:$D$41,3,FALSE),"Merchant not found")</f>
        <v/>
      </c>
      <c r="K350" s="2">
        <f>IFERROR(VLOOKUP(C350,Merchants!$A$2:$D$41,4,FALSE),"Merchant not found")</f>
        <v/>
      </c>
      <c r="L350" s="7">
        <f>DATE(YEAR(D350),MONTH(D350),DAY(D350))</f>
        <v/>
      </c>
      <c r="M350" s="5">
        <f>IFERROR(HLOOKUP(F350,Fee_Tiers!$B$1:$E$2,2,FALSE),"Fee tier not found")</f>
        <v/>
      </c>
      <c r="N350" s="8">
        <f>SUMIFS(Daily_Merchant!$C$2:$C$444,Daily_Merchant!$A$2:$A$444,C350,Daily_Merchant!$B$2:$B$444,L350)</f>
        <v/>
      </c>
      <c r="O350" s="2">
        <f>IF(AND(N350&gt;5000,K350&lt;&gt;"East"),"High-Value Merchant Day","")</f>
        <v/>
      </c>
    </row>
    <row r="351">
      <c r="A351" s="2" t="inlineStr">
        <is>
          <t>TXN100349</t>
        </is>
      </c>
      <c r="B351" s="2" t="n">
        <v>69</v>
      </c>
      <c r="C351" s="2" t="n">
        <v>17</v>
      </c>
      <c r="D351" s="12" t="n">
        <v>46023.14375</v>
      </c>
      <c r="E351" s="8" t="n">
        <v>1499</v>
      </c>
      <c r="F351" s="2" t="inlineStr">
        <is>
          <t>UPI</t>
        </is>
      </c>
      <c r="G351" s="2" t="inlineStr">
        <is>
          <t>captured</t>
        </is>
      </c>
      <c r="H351" s="2" t="n">
        <v>93</v>
      </c>
      <c r="I351" s="2">
        <f>IFERROR(VLOOKUP(C351,Merchants!$A$2:$D$41,2,FALSE),"Merchant not found")</f>
        <v/>
      </c>
      <c r="J351" s="2">
        <f>IFERROR(VLOOKUP(C351,Merchants!$A$2:$D$41,3,FALSE),"Merchant not found")</f>
        <v/>
      </c>
      <c r="K351" s="2">
        <f>IFERROR(VLOOKUP(C351,Merchants!$A$2:$D$41,4,FALSE),"Merchant not found")</f>
        <v/>
      </c>
      <c r="L351" s="7">
        <f>DATE(YEAR(D351),MONTH(D351),DAY(D351))</f>
        <v/>
      </c>
      <c r="M351" s="5">
        <f>IFERROR(HLOOKUP(F351,Fee_Tiers!$B$1:$E$2,2,FALSE),"Fee tier not found")</f>
        <v/>
      </c>
      <c r="N351" s="8">
        <f>SUMIFS(Daily_Merchant!$C$2:$C$444,Daily_Merchant!$A$2:$A$444,C351,Daily_Merchant!$B$2:$B$444,L351)</f>
        <v/>
      </c>
      <c r="O351" s="2">
        <f>IF(AND(N351&gt;5000,K351&lt;&gt;"East"),"High-Value Merchant Day","")</f>
        <v/>
      </c>
    </row>
    <row r="352">
      <c r="A352" s="2" t="inlineStr">
        <is>
          <t>TXN100350</t>
        </is>
      </c>
      <c r="B352" s="2" t="n">
        <v>24</v>
      </c>
      <c r="C352" s="2" t="n">
        <v>26</v>
      </c>
      <c r="D352" s="12" t="n">
        <v>46034.51597222222</v>
      </c>
      <c r="E352" s="8" t="n">
        <v>299</v>
      </c>
      <c r="F352" s="2" t="inlineStr">
        <is>
          <t>Netbanking</t>
        </is>
      </c>
      <c r="G352" s="2" t="inlineStr">
        <is>
          <t>captured</t>
        </is>
      </c>
      <c r="H352" s="2" t="n">
        <v>6</v>
      </c>
      <c r="I352" s="2">
        <f>IFERROR(VLOOKUP(C352,Merchants!$A$2:$D$41,2,FALSE),"Merchant not found")</f>
        <v/>
      </c>
      <c r="J352" s="2">
        <f>IFERROR(VLOOKUP(C352,Merchants!$A$2:$D$41,3,FALSE),"Merchant not found")</f>
        <v/>
      </c>
      <c r="K352" s="2">
        <f>IFERROR(VLOOKUP(C352,Merchants!$A$2:$D$41,4,FALSE),"Merchant not found")</f>
        <v/>
      </c>
      <c r="L352" s="7">
        <f>DATE(YEAR(D352),MONTH(D352),DAY(D352))</f>
        <v/>
      </c>
      <c r="M352" s="5">
        <f>IFERROR(HLOOKUP(F352,Fee_Tiers!$B$1:$E$2,2,FALSE),"Fee tier not found")</f>
        <v/>
      </c>
      <c r="N352" s="8">
        <f>SUMIFS(Daily_Merchant!$C$2:$C$444,Daily_Merchant!$A$2:$A$444,C352,Daily_Merchant!$B$2:$B$444,L352)</f>
        <v/>
      </c>
      <c r="O352" s="2">
        <f>IF(AND(N352&gt;5000,K352&lt;&gt;"East"),"High-Value Merchant Day","")</f>
        <v/>
      </c>
    </row>
    <row r="353">
      <c r="A353" s="2" t="inlineStr">
        <is>
          <t>TXN100351</t>
        </is>
      </c>
      <c r="B353" s="2" t="n">
        <v>186</v>
      </c>
      <c r="C353" s="2" t="n">
        <v>36</v>
      </c>
      <c r="D353" s="12" t="n">
        <v>46041.71666666667</v>
      </c>
      <c r="E353" s="8" t="n">
        <v>4999</v>
      </c>
      <c r="F353" s="2" t="inlineStr">
        <is>
          <t>UPI</t>
        </is>
      </c>
      <c r="G353" s="2" t="inlineStr">
        <is>
          <t>captured</t>
        </is>
      </c>
      <c r="H353" s="2" t="n">
        <v>36</v>
      </c>
      <c r="I353" s="2">
        <f>IFERROR(VLOOKUP(C353,Merchants!$A$2:$D$41,2,FALSE),"Merchant not found")</f>
        <v/>
      </c>
      <c r="J353" s="2">
        <f>IFERROR(VLOOKUP(C353,Merchants!$A$2:$D$41,3,FALSE),"Merchant not found")</f>
        <v/>
      </c>
      <c r="K353" s="2">
        <f>IFERROR(VLOOKUP(C353,Merchants!$A$2:$D$41,4,FALSE),"Merchant not found")</f>
        <v/>
      </c>
      <c r="L353" s="7">
        <f>DATE(YEAR(D353),MONTH(D353),DAY(D353))</f>
        <v/>
      </c>
      <c r="M353" s="5">
        <f>IFERROR(HLOOKUP(F353,Fee_Tiers!$B$1:$E$2,2,FALSE),"Fee tier not found")</f>
        <v/>
      </c>
      <c r="N353" s="8">
        <f>SUMIFS(Daily_Merchant!$C$2:$C$444,Daily_Merchant!$A$2:$A$444,C353,Daily_Merchant!$B$2:$B$444,L353)</f>
        <v/>
      </c>
      <c r="O353" s="2">
        <f>IF(AND(N353&gt;5000,K353&lt;&gt;"East"),"High-Value Merchant Day","")</f>
        <v/>
      </c>
    </row>
    <row r="354">
      <c r="A354" s="2" t="inlineStr">
        <is>
          <t>TXN100352</t>
        </is>
      </c>
      <c r="B354" s="2" t="n">
        <v>231</v>
      </c>
      <c r="C354" s="2" t="n">
        <v>36</v>
      </c>
      <c r="D354" s="12" t="n">
        <v>46025.52222222222</v>
      </c>
      <c r="E354" s="8" t="n">
        <v>149</v>
      </c>
      <c r="F354" s="2" t="inlineStr">
        <is>
          <t>UPI</t>
        </is>
      </c>
      <c r="G354" s="2" t="inlineStr">
        <is>
          <t>captured</t>
        </is>
      </c>
      <c r="H354" s="2" t="n">
        <v>35</v>
      </c>
      <c r="I354" s="2">
        <f>IFERROR(VLOOKUP(C354,Merchants!$A$2:$D$41,2,FALSE),"Merchant not found")</f>
        <v/>
      </c>
      <c r="J354" s="2">
        <f>IFERROR(VLOOKUP(C354,Merchants!$A$2:$D$41,3,FALSE),"Merchant not found")</f>
        <v/>
      </c>
      <c r="K354" s="2">
        <f>IFERROR(VLOOKUP(C354,Merchants!$A$2:$D$41,4,FALSE),"Merchant not found")</f>
        <v/>
      </c>
      <c r="L354" s="7">
        <f>DATE(YEAR(D354),MONTH(D354),DAY(D354))</f>
        <v/>
      </c>
      <c r="M354" s="5">
        <f>IFERROR(HLOOKUP(F354,Fee_Tiers!$B$1:$E$2,2,FALSE),"Fee tier not found")</f>
        <v/>
      </c>
      <c r="N354" s="8">
        <f>SUMIFS(Daily_Merchant!$C$2:$C$444,Daily_Merchant!$A$2:$A$444,C354,Daily_Merchant!$B$2:$B$444,L354)</f>
        <v/>
      </c>
      <c r="O354" s="2">
        <f>IF(AND(N354&gt;5000,K354&lt;&gt;"East"),"High-Value Merchant Day","")</f>
        <v/>
      </c>
    </row>
    <row r="355">
      <c r="A355" s="2" t="inlineStr">
        <is>
          <t>TXN100353</t>
        </is>
      </c>
      <c r="B355" s="2" t="n">
        <v>313</v>
      </c>
      <c r="C355" s="2" t="n">
        <v>8</v>
      </c>
      <c r="D355" s="12" t="n">
        <v>46049.82152777778</v>
      </c>
      <c r="E355" s="8" t="n">
        <v>1499</v>
      </c>
      <c r="F355" s="2" t="inlineStr">
        <is>
          <t>Netbanking</t>
        </is>
      </c>
      <c r="G355" s="2" t="inlineStr">
        <is>
          <t>captured</t>
        </is>
      </c>
      <c r="H355" s="2" t="n">
        <v>16</v>
      </c>
      <c r="I355" s="2">
        <f>IFERROR(VLOOKUP(C355,Merchants!$A$2:$D$41,2,FALSE),"Merchant not found")</f>
        <v/>
      </c>
      <c r="J355" s="2">
        <f>IFERROR(VLOOKUP(C355,Merchants!$A$2:$D$41,3,FALSE),"Merchant not found")</f>
        <v/>
      </c>
      <c r="K355" s="2">
        <f>IFERROR(VLOOKUP(C355,Merchants!$A$2:$D$41,4,FALSE),"Merchant not found")</f>
        <v/>
      </c>
      <c r="L355" s="7">
        <f>DATE(YEAR(D355),MONTH(D355),DAY(D355))</f>
        <v/>
      </c>
      <c r="M355" s="5">
        <f>IFERROR(HLOOKUP(F355,Fee_Tiers!$B$1:$E$2,2,FALSE),"Fee tier not found")</f>
        <v/>
      </c>
      <c r="N355" s="8">
        <f>SUMIFS(Daily_Merchant!$C$2:$C$444,Daily_Merchant!$A$2:$A$444,C355,Daily_Merchant!$B$2:$B$444,L355)</f>
        <v/>
      </c>
      <c r="O355" s="2">
        <f>IF(AND(N355&gt;5000,K355&lt;&gt;"East"),"High-Value Merchant Day","")</f>
        <v/>
      </c>
    </row>
    <row r="356">
      <c r="A356" s="2" t="inlineStr">
        <is>
          <t>TXN100354</t>
        </is>
      </c>
      <c r="B356" s="2" t="n">
        <v>174</v>
      </c>
      <c r="C356" s="2" t="n">
        <v>36</v>
      </c>
      <c r="D356" s="12" t="n">
        <v>46026.51597222222</v>
      </c>
      <c r="E356" s="8" t="n">
        <v>149</v>
      </c>
      <c r="F356" s="2" t="inlineStr">
        <is>
          <t>UPI</t>
        </is>
      </c>
      <c r="G356" s="2" t="inlineStr">
        <is>
          <t>captured</t>
        </is>
      </c>
      <c r="H356" s="2" t="n">
        <v>46</v>
      </c>
      <c r="I356" s="2">
        <f>IFERROR(VLOOKUP(C356,Merchants!$A$2:$D$41,2,FALSE),"Merchant not found")</f>
        <v/>
      </c>
      <c r="J356" s="2">
        <f>IFERROR(VLOOKUP(C356,Merchants!$A$2:$D$41,3,FALSE),"Merchant not found")</f>
        <v/>
      </c>
      <c r="K356" s="2">
        <f>IFERROR(VLOOKUP(C356,Merchants!$A$2:$D$41,4,FALSE),"Merchant not found")</f>
        <v/>
      </c>
      <c r="L356" s="7">
        <f>DATE(YEAR(D356),MONTH(D356),DAY(D356))</f>
        <v/>
      </c>
      <c r="M356" s="5">
        <f>IFERROR(HLOOKUP(F356,Fee_Tiers!$B$1:$E$2,2,FALSE),"Fee tier not found")</f>
        <v/>
      </c>
      <c r="N356" s="8">
        <f>SUMIFS(Daily_Merchant!$C$2:$C$444,Daily_Merchant!$A$2:$A$444,C356,Daily_Merchant!$B$2:$B$444,L356)</f>
        <v/>
      </c>
      <c r="O356" s="2">
        <f>IF(AND(N356&gt;5000,K356&lt;&gt;"East"),"High-Value Merchant Day","")</f>
        <v/>
      </c>
    </row>
    <row r="357">
      <c r="A357" s="2" t="inlineStr">
        <is>
          <t>TXN100355</t>
        </is>
      </c>
      <c r="B357" s="2" t="n">
        <v>309</v>
      </c>
      <c r="C357" s="2" t="n">
        <v>33</v>
      </c>
      <c r="D357" s="12" t="n">
        <v>46047.175</v>
      </c>
      <c r="E357" s="8" t="n">
        <v>99</v>
      </c>
      <c r="F357" s="2" t="inlineStr">
        <is>
          <t>UPI</t>
        </is>
      </c>
      <c r="G357" s="2" t="inlineStr">
        <is>
          <t>captured</t>
        </is>
      </c>
      <c r="H357" s="2" t="n">
        <v>51</v>
      </c>
      <c r="I357" s="2">
        <f>IFERROR(VLOOKUP(C357,Merchants!$A$2:$D$41,2,FALSE),"Merchant not found")</f>
        <v/>
      </c>
      <c r="J357" s="2">
        <f>IFERROR(VLOOKUP(C357,Merchants!$A$2:$D$41,3,FALSE),"Merchant not found")</f>
        <v/>
      </c>
      <c r="K357" s="2">
        <f>IFERROR(VLOOKUP(C357,Merchants!$A$2:$D$41,4,FALSE),"Merchant not found")</f>
        <v/>
      </c>
      <c r="L357" s="7">
        <f>DATE(YEAR(D357),MONTH(D357),DAY(D357))</f>
        <v/>
      </c>
      <c r="M357" s="5">
        <f>IFERROR(HLOOKUP(F357,Fee_Tiers!$B$1:$E$2,2,FALSE),"Fee tier not found")</f>
        <v/>
      </c>
      <c r="N357" s="8">
        <f>SUMIFS(Daily_Merchant!$C$2:$C$444,Daily_Merchant!$A$2:$A$444,C357,Daily_Merchant!$B$2:$B$444,L357)</f>
        <v/>
      </c>
      <c r="O357" s="2">
        <f>IF(AND(N357&gt;5000,K357&lt;&gt;"East"),"High-Value Merchant Day","")</f>
        <v/>
      </c>
    </row>
    <row r="358">
      <c r="A358" s="2" t="inlineStr">
        <is>
          <t>TXN100356</t>
        </is>
      </c>
      <c r="B358" s="2" t="n">
        <v>20</v>
      </c>
      <c r="C358" s="2" t="n">
        <v>9</v>
      </c>
      <c r="D358" s="12" t="n">
        <v>46039.04305555556</v>
      </c>
      <c r="E358" s="8" t="n">
        <v>99</v>
      </c>
      <c r="F358" s="2" t="inlineStr">
        <is>
          <t>UPI</t>
        </is>
      </c>
      <c r="G358" s="2" t="inlineStr">
        <is>
          <t>captured</t>
        </is>
      </c>
      <c r="H358" s="2" t="n">
        <v>91</v>
      </c>
      <c r="I358" s="2">
        <f>IFERROR(VLOOKUP(C358,Merchants!$A$2:$D$41,2,FALSE),"Merchant not found")</f>
        <v/>
      </c>
      <c r="J358" s="2">
        <f>IFERROR(VLOOKUP(C358,Merchants!$A$2:$D$41,3,FALSE),"Merchant not found")</f>
        <v/>
      </c>
      <c r="K358" s="2">
        <f>IFERROR(VLOOKUP(C358,Merchants!$A$2:$D$41,4,FALSE),"Merchant not found")</f>
        <v/>
      </c>
      <c r="L358" s="7">
        <f>DATE(YEAR(D358),MONTH(D358),DAY(D358))</f>
        <v/>
      </c>
      <c r="M358" s="5">
        <f>IFERROR(HLOOKUP(F358,Fee_Tiers!$B$1:$E$2,2,FALSE),"Fee tier not found")</f>
        <v/>
      </c>
      <c r="N358" s="8">
        <f>SUMIFS(Daily_Merchant!$C$2:$C$444,Daily_Merchant!$A$2:$A$444,C358,Daily_Merchant!$B$2:$B$444,L358)</f>
        <v/>
      </c>
      <c r="O358" s="2">
        <f>IF(AND(N358&gt;5000,K358&lt;&gt;"East"),"High-Value Merchant Day","")</f>
        <v/>
      </c>
    </row>
    <row r="359">
      <c r="A359" s="2" t="inlineStr">
        <is>
          <t>TXN100357</t>
        </is>
      </c>
      <c r="B359" s="2" t="n">
        <v>234</v>
      </c>
      <c r="C359" s="2" t="n">
        <v>10</v>
      </c>
      <c r="D359" s="12" t="n">
        <v>46033.64791666667</v>
      </c>
      <c r="E359" s="8" t="n">
        <v>49</v>
      </c>
      <c r="F359" s="2" t="inlineStr">
        <is>
          <t>UPI</t>
        </is>
      </c>
      <c r="G359" s="2" t="inlineStr">
        <is>
          <t>captured</t>
        </is>
      </c>
      <c r="H359" s="2" t="n">
        <v>77</v>
      </c>
      <c r="I359" s="2">
        <f>IFERROR(VLOOKUP(C359,Merchants!$A$2:$D$41,2,FALSE),"Merchant not found")</f>
        <v/>
      </c>
      <c r="J359" s="2">
        <f>IFERROR(VLOOKUP(C359,Merchants!$A$2:$D$41,3,FALSE),"Merchant not found")</f>
        <v/>
      </c>
      <c r="K359" s="2">
        <f>IFERROR(VLOOKUP(C359,Merchants!$A$2:$D$41,4,FALSE),"Merchant not found")</f>
        <v/>
      </c>
      <c r="L359" s="7">
        <f>DATE(YEAR(D359),MONTH(D359),DAY(D359))</f>
        <v/>
      </c>
      <c r="M359" s="5">
        <f>IFERROR(HLOOKUP(F359,Fee_Tiers!$B$1:$E$2,2,FALSE),"Fee tier not found")</f>
        <v/>
      </c>
      <c r="N359" s="8">
        <f>SUMIFS(Daily_Merchant!$C$2:$C$444,Daily_Merchant!$A$2:$A$444,C359,Daily_Merchant!$B$2:$B$444,L359)</f>
        <v/>
      </c>
      <c r="O359" s="2">
        <f>IF(AND(N359&gt;5000,K359&lt;&gt;"East"),"High-Value Merchant Day","")</f>
        <v/>
      </c>
    </row>
    <row r="360">
      <c r="A360" s="2" t="inlineStr">
        <is>
          <t>TXN100358</t>
        </is>
      </c>
      <c r="B360" s="2" t="n">
        <v>168</v>
      </c>
      <c r="C360" s="2" t="n">
        <v>40</v>
      </c>
      <c r="D360" s="12" t="n">
        <v>46051.67222222222</v>
      </c>
      <c r="E360" s="8" t="n">
        <v>149</v>
      </c>
      <c r="F360" s="2" t="inlineStr">
        <is>
          <t>UPI</t>
        </is>
      </c>
      <c r="G360" s="2" t="inlineStr">
        <is>
          <t>chargeback</t>
        </is>
      </c>
      <c r="H360" s="2" t="n">
        <v>40</v>
      </c>
      <c r="I360" s="2">
        <f>IFERROR(VLOOKUP(C360,Merchants!$A$2:$D$41,2,FALSE),"Merchant not found")</f>
        <v/>
      </c>
      <c r="J360" s="2">
        <f>IFERROR(VLOOKUP(C360,Merchants!$A$2:$D$41,3,FALSE),"Merchant not found")</f>
        <v/>
      </c>
      <c r="K360" s="2">
        <f>IFERROR(VLOOKUP(C360,Merchants!$A$2:$D$41,4,FALSE),"Merchant not found")</f>
        <v/>
      </c>
      <c r="L360" s="7">
        <f>DATE(YEAR(D360),MONTH(D360),DAY(D360))</f>
        <v/>
      </c>
      <c r="M360" s="5">
        <f>IFERROR(HLOOKUP(F360,Fee_Tiers!$B$1:$E$2,2,FALSE),"Fee tier not found")</f>
        <v/>
      </c>
      <c r="N360" s="8">
        <f>SUMIFS(Daily_Merchant!$C$2:$C$444,Daily_Merchant!$A$2:$A$444,C360,Daily_Merchant!$B$2:$B$444,L360)</f>
        <v/>
      </c>
      <c r="O360" s="2">
        <f>IF(AND(N360&gt;5000,K360&lt;&gt;"East"),"High-Value Merchant Day","")</f>
        <v/>
      </c>
    </row>
    <row r="361">
      <c r="A361" s="2" t="inlineStr">
        <is>
          <t>TXN100359</t>
        </is>
      </c>
      <c r="B361" s="2" t="n">
        <v>154</v>
      </c>
      <c r="C361" s="2" t="n">
        <v>38</v>
      </c>
      <c r="D361" s="12" t="n">
        <v>46028.52708333333</v>
      </c>
      <c r="E361" s="8" t="n">
        <v>99</v>
      </c>
      <c r="F361" s="2" t="inlineStr">
        <is>
          <t>Netbanking</t>
        </is>
      </c>
      <c r="G361" s="2" t="inlineStr">
        <is>
          <t>captured</t>
        </is>
      </c>
      <c r="H361" s="2" t="n">
        <v>43</v>
      </c>
      <c r="I361" s="2">
        <f>IFERROR(VLOOKUP(C361,Merchants!$A$2:$D$41,2,FALSE),"Merchant not found")</f>
        <v/>
      </c>
      <c r="J361" s="2">
        <f>IFERROR(VLOOKUP(C361,Merchants!$A$2:$D$41,3,FALSE),"Merchant not found")</f>
        <v/>
      </c>
      <c r="K361" s="2">
        <f>IFERROR(VLOOKUP(C361,Merchants!$A$2:$D$41,4,FALSE),"Merchant not found")</f>
        <v/>
      </c>
      <c r="L361" s="7">
        <f>DATE(YEAR(D361),MONTH(D361),DAY(D361))</f>
        <v/>
      </c>
      <c r="M361" s="5">
        <f>IFERROR(HLOOKUP(F361,Fee_Tiers!$B$1:$E$2,2,FALSE),"Fee tier not found")</f>
        <v/>
      </c>
      <c r="N361" s="8">
        <f>SUMIFS(Daily_Merchant!$C$2:$C$444,Daily_Merchant!$A$2:$A$444,C361,Daily_Merchant!$B$2:$B$444,L361)</f>
        <v/>
      </c>
      <c r="O361" s="2">
        <f>IF(AND(N361&gt;5000,K361&lt;&gt;"East"),"High-Value Merchant Day","")</f>
        <v/>
      </c>
    </row>
    <row r="362">
      <c r="A362" s="2" t="inlineStr">
        <is>
          <t>TXN100360</t>
        </is>
      </c>
      <c r="B362" s="2" t="n">
        <v>251</v>
      </c>
      <c r="C362" s="2" t="n">
        <v>37</v>
      </c>
      <c r="D362" s="12" t="n">
        <v>46039.69027777778</v>
      </c>
      <c r="E362" s="8" t="n">
        <v>49</v>
      </c>
      <c r="F362" s="2" t="inlineStr">
        <is>
          <t>UPI</t>
        </is>
      </c>
      <c r="G362" s="2" t="inlineStr">
        <is>
          <t>captured</t>
        </is>
      </c>
      <c r="H362" s="2" t="n">
        <v>38</v>
      </c>
      <c r="I362" s="2">
        <f>IFERROR(VLOOKUP(C362,Merchants!$A$2:$D$41,2,FALSE),"Merchant not found")</f>
        <v/>
      </c>
      <c r="J362" s="2">
        <f>IFERROR(VLOOKUP(C362,Merchants!$A$2:$D$41,3,FALSE),"Merchant not found")</f>
        <v/>
      </c>
      <c r="K362" s="2">
        <f>IFERROR(VLOOKUP(C362,Merchants!$A$2:$D$41,4,FALSE),"Merchant not found")</f>
        <v/>
      </c>
      <c r="L362" s="7">
        <f>DATE(YEAR(D362),MONTH(D362),DAY(D362))</f>
        <v/>
      </c>
      <c r="M362" s="5">
        <f>IFERROR(HLOOKUP(F362,Fee_Tiers!$B$1:$E$2,2,FALSE),"Fee tier not found")</f>
        <v/>
      </c>
      <c r="N362" s="8">
        <f>SUMIFS(Daily_Merchant!$C$2:$C$444,Daily_Merchant!$A$2:$A$444,C362,Daily_Merchant!$B$2:$B$444,L362)</f>
        <v/>
      </c>
      <c r="O362" s="2">
        <f>IF(AND(N362&gt;5000,K362&lt;&gt;"East"),"High-Value Merchant Day","")</f>
        <v/>
      </c>
    </row>
    <row r="363">
      <c r="A363" s="2" t="inlineStr">
        <is>
          <t>TXN100361</t>
        </is>
      </c>
      <c r="B363" s="2" t="n">
        <v>170</v>
      </c>
      <c r="C363" s="2" t="n">
        <v>8</v>
      </c>
      <c r="D363" s="12" t="n">
        <v>46038.01597222222</v>
      </c>
      <c r="E363" s="8" t="n">
        <v>2999</v>
      </c>
      <c r="F363" s="2" t="inlineStr">
        <is>
          <t>UPI</t>
        </is>
      </c>
      <c r="G363" s="2" t="inlineStr">
        <is>
          <t>captured</t>
        </is>
      </c>
      <c r="H363" s="2" t="n">
        <v>53</v>
      </c>
      <c r="I363" s="2">
        <f>IFERROR(VLOOKUP(C363,Merchants!$A$2:$D$41,2,FALSE),"Merchant not found")</f>
        <v/>
      </c>
      <c r="J363" s="2">
        <f>IFERROR(VLOOKUP(C363,Merchants!$A$2:$D$41,3,FALSE),"Merchant not found")</f>
        <v/>
      </c>
      <c r="K363" s="2">
        <f>IFERROR(VLOOKUP(C363,Merchants!$A$2:$D$41,4,FALSE),"Merchant not found")</f>
        <v/>
      </c>
      <c r="L363" s="7">
        <f>DATE(YEAR(D363),MONTH(D363),DAY(D363))</f>
        <v/>
      </c>
      <c r="M363" s="5">
        <f>IFERROR(HLOOKUP(F363,Fee_Tiers!$B$1:$E$2,2,FALSE),"Fee tier not found")</f>
        <v/>
      </c>
      <c r="N363" s="8">
        <f>SUMIFS(Daily_Merchant!$C$2:$C$444,Daily_Merchant!$A$2:$A$444,C363,Daily_Merchant!$B$2:$B$444,L363)</f>
        <v/>
      </c>
      <c r="O363" s="2">
        <f>IF(AND(N363&gt;5000,K363&lt;&gt;"East"),"High-Value Merchant Day","")</f>
        <v/>
      </c>
    </row>
    <row r="364">
      <c r="A364" s="2" t="inlineStr">
        <is>
          <t>TXN100362</t>
        </is>
      </c>
      <c r="B364" s="2" t="n">
        <v>323</v>
      </c>
      <c r="C364" s="2" t="n">
        <v>2</v>
      </c>
      <c r="D364" s="12" t="n">
        <v>46041.40972222222</v>
      </c>
      <c r="E364" s="8" t="n">
        <v>49</v>
      </c>
      <c r="F364" s="2" t="inlineStr">
        <is>
          <t>Netbanking</t>
        </is>
      </c>
      <c r="G364" s="2" t="inlineStr">
        <is>
          <t>captured</t>
        </is>
      </c>
      <c r="H364" s="2" t="n">
        <v>76</v>
      </c>
      <c r="I364" s="2">
        <f>IFERROR(VLOOKUP(C364,Merchants!$A$2:$D$41,2,FALSE),"Merchant not found")</f>
        <v/>
      </c>
      <c r="J364" s="2">
        <f>IFERROR(VLOOKUP(C364,Merchants!$A$2:$D$41,3,FALSE),"Merchant not found")</f>
        <v/>
      </c>
      <c r="K364" s="2">
        <f>IFERROR(VLOOKUP(C364,Merchants!$A$2:$D$41,4,FALSE),"Merchant not found")</f>
        <v/>
      </c>
      <c r="L364" s="7">
        <f>DATE(YEAR(D364),MONTH(D364),DAY(D364))</f>
        <v/>
      </c>
      <c r="M364" s="5">
        <f>IFERROR(HLOOKUP(F364,Fee_Tiers!$B$1:$E$2,2,FALSE),"Fee tier not found")</f>
        <v/>
      </c>
      <c r="N364" s="8">
        <f>SUMIFS(Daily_Merchant!$C$2:$C$444,Daily_Merchant!$A$2:$A$444,C364,Daily_Merchant!$B$2:$B$444,L364)</f>
        <v/>
      </c>
      <c r="O364" s="2">
        <f>IF(AND(N364&gt;5000,K364&lt;&gt;"East"),"High-Value Merchant Day","")</f>
        <v/>
      </c>
    </row>
    <row r="365">
      <c r="A365" s="2" t="inlineStr">
        <is>
          <t>TXN100363</t>
        </is>
      </c>
      <c r="B365" s="2" t="n">
        <v>297</v>
      </c>
      <c r="C365" s="2" t="n">
        <v>37</v>
      </c>
      <c r="D365" s="12" t="n">
        <v>46038.36180555556</v>
      </c>
      <c r="E365" s="8" t="n">
        <v>2999</v>
      </c>
      <c r="F365" s="2" t="inlineStr">
        <is>
          <t>Wallet</t>
        </is>
      </c>
      <c r="G365" s="2" t="inlineStr">
        <is>
          <t>captured</t>
        </is>
      </c>
      <c r="H365" s="2" t="n">
        <v>29</v>
      </c>
      <c r="I365" s="2">
        <f>IFERROR(VLOOKUP(C365,Merchants!$A$2:$D$41,2,FALSE),"Merchant not found")</f>
        <v/>
      </c>
      <c r="J365" s="2">
        <f>IFERROR(VLOOKUP(C365,Merchants!$A$2:$D$41,3,FALSE),"Merchant not found")</f>
        <v/>
      </c>
      <c r="K365" s="2">
        <f>IFERROR(VLOOKUP(C365,Merchants!$A$2:$D$41,4,FALSE),"Merchant not found")</f>
        <v/>
      </c>
      <c r="L365" s="7">
        <f>DATE(YEAR(D365),MONTH(D365),DAY(D365))</f>
        <v/>
      </c>
      <c r="M365" s="5">
        <f>IFERROR(HLOOKUP(F365,Fee_Tiers!$B$1:$E$2,2,FALSE),"Fee tier not found")</f>
        <v/>
      </c>
      <c r="N365" s="8">
        <f>SUMIFS(Daily_Merchant!$C$2:$C$444,Daily_Merchant!$A$2:$A$444,C365,Daily_Merchant!$B$2:$B$444,L365)</f>
        <v/>
      </c>
      <c r="O365" s="2">
        <f>IF(AND(N365&gt;5000,K365&lt;&gt;"East"),"High-Value Merchant Day","")</f>
        <v/>
      </c>
    </row>
    <row r="366">
      <c r="A366" s="2" t="inlineStr">
        <is>
          <t>TXN100364</t>
        </is>
      </c>
      <c r="B366" s="2" t="n">
        <v>246</v>
      </c>
      <c r="C366" s="2" t="n">
        <v>11</v>
      </c>
      <c r="D366" s="12" t="n">
        <v>46046.06736111111</v>
      </c>
      <c r="E366" s="8" t="n">
        <v>299</v>
      </c>
      <c r="F366" s="2" t="inlineStr">
        <is>
          <t>UPI</t>
        </is>
      </c>
      <c r="G366" s="2" t="inlineStr">
        <is>
          <t>captured</t>
        </is>
      </c>
      <c r="H366" s="2" t="n">
        <v>67</v>
      </c>
      <c r="I366" s="2">
        <f>IFERROR(VLOOKUP(C366,Merchants!$A$2:$D$41,2,FALSE),"Merchant not found")</f>
        <v/>
      </c>
      <c r="J366" s="2">
        <f>IFERROR(VLOOKUP(C366,Merchants!$A$2:$D$41,3,FALSE),"Merchant not found")</f>
        <v/>
      </c>
      <c r="K366" s="2">
        <f>IFERROR(VLOOKUP(C366,Merchants!$A$2:$D$41,4,FALSE),"Merchant not found")</f>
        <v/>
      </c>
      <c r="L366" s="7">
        <f>DATE(YEAR(D366),MONTH(D366),DAY(D366))</f>
        <v/>
      </c>
      <c r="M366" s="5">
        <f>IFERROR(HLOOKUP(F366,Fee_Tiers!$B$1:$E$2,2,FALSE),"Fee tier not found")</f>
        <v/>
      </c>
      <c r="N366" s="8">
        <f>SUMIFS(Daily_Merchant!$C$2:$C$444,Daily_Merchant!$A$2:$A$444,C366,Daily_Merchant!$B$2:$B$444,L366)</f>
        <v/>
      </c>
      <c r="O366" s="2">
        <f>IF(AND(N366&gt;5000,K366&lt;&gt;"East"),"High-Value Merchant Day","")</f>
        <v/>
      </c>
    </row>
    <row r="367">
      <c r="A367" s="2" t="inlineStr">
        <is>
          <t>TXN100365</t>
        </is>
      </c>
      <c r="B367" s="2" t="n">
        <v>195</v>
      </c>
      <c r="C367" s="2" t="n">
        <v>10</v>
      </c>
      <c r="D367" s="12" t="n">
        <v>46043.98541666667</v>
      </c>
      <c r="E367" s="8" t="n">
        <v>99</v>
      </c>
      <c r="F367" s="2" t="inlineStr">
        <is>
          <t>UPI</t>
        </is>
      </c>
      <c r="G367" s="2" t="inlineStr">
        <is>
          <t>captured</t>
        </is>
      </c>
      <c r="H367" s="2" t="n">
        <v>87</v>
      </c>
      <c r="I367" s="2">
        <f>IFERROR(VLOOKUP(C367,Merchants!$A$2:$D$41,2,FALSE),"Merchant not found")</f>
        <v/>
      </c>
      <c r="J367" s="2">
        <f>IFERROR(VLOOKUP(C367,Merchants!$A$2:$D$41,3,FALSE),"Merchant not found")</f>
        <v/>
      </c>
      <c r="K367" s="2">
        <f>IFERROR(VLOOKUP(C367,Merchants!$A$2:$D$41,4,FALSE),"Merchant not found")</f>
        <v/>
      </c>
      <c r="L367" s="7">
        <f>DATE(YEAR(D367),MONTH(D367),DAY(D367))</f>
        <v/>
      </c>
      <c r="M367" s="5">
        <f>IFERROR(HLOOKUP(F367,Fee_Tiers!$B$1:$E$2,2,FALSE),"Fee tier not found")</f>
        <v/>
      </c>
      <c r="N367" s="8">
        <f>SUMIFS(Daily_Merchant!$C$2:$C$444,Daily_Merchant!$A$2:$A$444,C367,Daily_Merchant!$B$2:$B$444,L367)</f>
        <v/>
      </c>
      <c r="O367" s="2">
        <f>IF(AND(N367&gt;5000,K367&lt;&gt;"East"),"High-Value Merchant Day","")</f>
        <v/>
      </c>
    </row>
    <row r="368">
      <c r="A368" s="2" t="inlineStr">
        <is>
          <t>TXN100366</t>
        </is>
      </c>
      <c r="B368" s="2" t="n">
        <v>57</v>
      </c>
      <c r="C368" s="2" t="n">
        <v>13</v>
      </c>
      <c r="D368" s="12" t="n">
        <v>46030.06666666667</v>
      </c>
      <c r="E368" s="8" t="n">
        <v>149</v>
      </c>
      <c r="F368" s="2" t="inlineStr">
        <is>
          <t>UPI</t>
        </is>
      </c>
      <c r="G368" s="2" t="inlineStr">
        <is>
          <t>captured</t>
        </is>
      </c>
      <c r="H368" s="2" t="n">
        <v>2</v>
      </c>
      <c r="I368" s="2">
        <f>IFERROR(VLOOKUP(C368,Merchants!$A$2:$D$41,2,FALSE),"Merchant not found")</f>
        <v/>
      </c>
      <c r="J368" s="2">
        <f>IFERROR(VLOOKUP(C368,Merchants!$A$2:$D$41,3,FALSE),"Merchant not found")</f>
        <v/>
      </c>
      <c r="K368" s="2">
        <f>IFERROR(VLOOKUP(C368,Merchants!$A$2:$D$41,4,FALSE),"Merchant not found")</f>
        <v/>
      </c>
      <c r="L368" s="7">
        <f>DATE(YEAR(D368),MONTH(D368),DAY(D368))</f>
        <v/>
      </c>
      <c r="M368" s="5">
        <f>IFERROR(HLOOKUP(F368,Fee_Tiers!$B$1:$E$2,2,FALSE),"Fee tier not found")</f>
        <v/>
      </c>
      <c r="N368" s="8">
        <f>SUMIFS(Daily_Merchant!$C$2:$C$444,Daily_Merchant!$A$2:$A$444,C368,Daily_Merchant!$B$2:$B$444,L368)</f>
        <v/>
      </c>
      <c r="O368" s="2">
        <f>IF(AND(N368&gt;5000,K368&lt;&gt;"East"),"High-Value Merchant Day","")</f>
        <v/>
      </c>
    </row>
    <row r="369">
      <c r="A369" s="2" t="inlineStr">
        <is>
          <t>TXN100367</t>
        </is>
      </c>
      <c r="B369" s="2" t="n">
        <v>78</v>
      </c>
      <c r="C369" s="2" t="n">
        <v>27</v>
      </c>
      <c r="D369" s="12" t="n">
        <v>46037.43472222222</v>
      </c>
      <c r="E369" s="8" t="n">
        <v>1499</v>
      </c>
      <c r="F369" s="2" t="inlineStr">
        <is>
          <t>Netbanking</t>
        </is>
      </c>
      <c r="G369" s="2" t="inlineStr">
        <is>
          <t>failed</t>
        </is>
      </c>
      <c r="H369" s="2" t="n">
        <v>88</v>
      </c>
      <c r="I369" s="2">
        <f>IFERROR(VLOOKUP(C369,Merchants!$A$2:$D$41,2,FALSE),"Merchant not found")</f>
        <v/>
      </c>
      <c r="J369" s="2">
        <f>IFERROR(VLOOKUP(C369,Merchants!$A$2:$D$41,3,FALSE),"Merchant not found")</f>
        <v/>
      </c>
      <c r="K369" s="2">
        <f>IFERROR(VLOOKUP(C369,Merchants!$A$2:$D$41,4,FALSE),"Merchant not found")</f>
        <v/>
      </c>
      <c r="L369" s="7">
        <f>DATE(YEAR(D369),MONTH(D369),DAY(D369))</f>
        <v/>
      </c>
      <c r="M369" s="5">
        <f>IFERROR(HLOOKUP(F369,Fee_Tiers!$B$1:$E$2,2,FALSE),"Fee tier not found")</f>
        <v/>
      </c>
      <c r="N369" s="8">
        <f>SUMIFS(Daily_Merchant!$C$2:$C$444,Daily_Merchant!$A$2:$A$444,C369,Daily_Merchant!$B$2:$B$444,L369)</f>
        <v/>
      </c>
      <c r="O369" s="2">
        <f>IF(AND(N369&gt;5000,K369&lt;&gt;"East"),"High-Value Merchant Day","")</f>
        <v/>
      </c>
    </row>
    <row r="370">
      <c r="A370" s="2" t="inlineStr">
        <is>
          <t>TXN100368</t>
        </is>
      </c>
      <c r="B370" s="2" t="n">
        <v>314</v>
      </c>
      <c r="C370" s="2" t="n">
        <v>31</v>
      </c>
      <c r="D370" s="12" t="n">
        <v>46029.56388888889</v>
      </c>
      <c r="E370" s="8" t="n">
        <v>49</v>
      </c>
      <c r="F370" s="2" t="inlineStr">
        <is>
          <t>UPI</t>
        </is>
      </c>
      <c r="G370" s="2" t="inlineStr">
        <is>
          <t>chargeback</t>
        </is>
      </c>
      <c r="H370" s="2" t="n">
        <v>94</v>
      </c>
      <c r="I370" s="2">
        <f>IFERROR(VLOOKUP(C370,Merchants!$A$2:$D$41,2,FALSE),"Merchant not found")</f>
        <v/>
      </c>
      <c r="J370" s="2">
        <f>IFERROR(VLOOKUP(C370,Merchants!$A$2:$D$41,3,FALSE),"Merchant not found")</f>
        <v/>
      </c>
      <c r="K370" s="2">
        <f>IFERROR(VLOOKUP(C370,Merchants!$A$2:$D$41,4,FALSE),"Merchant not found")</f>
        <v/>
      </c>
      <c r="L370" s="7">
        <f>DATE(YEAR(D370),MONTH(D370),DAY(D370))</f>
        <v/>
      </c>
      <c r="M370" s="5">
        <f>IFERROR(HLOOKUP(F370,Fee_Tiers!$B$1:$E$2,2,FALSE),"Fee tier not found")</f>
        <v/>
      </c>
      <c r="N370" s="8">
        <f>SUMIFS(Daily_Merchant!$C$2:$C$444,Daily_Merchant!$A$2:$A$444,C370,Daily_Merchant!$B$2:$B$444,L370)</f>
        <v/>
      </c>
      <c r="O370" s="2">
        <f>IF(AND(N370&gt;5000,K370&lt;&gt;"East"),"High-Value Merchant Day","")</f>
        <v/>
      </c>
    </row>
    <row r="371">
      <c r="A371" s="2" t="inlineStr">
        <is>
          <t>TXN100369</t>
        </is>
      </c>
      <c r="B371" s="2" t="n">
        <v>71</v>
      </c>
      <c r="C371" s="2" t="n">
        <v>34</v>
      </c>
      <c r="D371" s="12" t="n">
        <v>46046.07291666666</v>
      </c>
      <c r="E371" s="8" t="n">
        <v>499</v>
      </c>
      <c r="F371" s="2" t="inlineStr">
        <is>
          <t>UPI</t>
        </is>
      </c>
      <c r="G371" s="2" t="inlineStr">
        <is>
          <t>captured</t>
        </is>
      </c>
      <c r="H371" s="2" t="n">
        <v>26</v>
      </c>
      <c r="I371" s="2">
        <f>IFERROR(VLOOKUP(C371,Merchants!$A$2:$D$41,2,FALSE),"Merchant not found")</f>
        <v/>
      </c>
      <c r="J371" s="2">
        <f>IFERROR(VLOOKUP(C371,Merchants!$A$2:$D$41,3,FALSE),"Merchant not found")</f>
        <v/>
      </c>
      <c r="K371" s="2">
        <f>IFERROR(VLOOKUP(C371,Merchants!$A$2:$D$41,4,FALSE),"Merchant not found")</f>
        <v/>
      </c>
      <c r="L371" s="7">
        <f>DATE(YEAR(D371),MONTH(D371),DAY(D371))</f>
        <v/>
      </c>
      <c r="M371" s="5">
        <f>IFERROR(HLOOKUP(F371,Fee_Tiers!$B$1:$E$2,2,FALSE),"Fee tier not found")</f>
        <v/>
      </c>
      <c r="N371" s="8">
        <f>SUMIFS(Daily_Merchant!$C$2:$C$444,Daily_Merchant!$A$2:$A$444,C371,Daily_Merchant!$B$2:$B$444,L371)</f>
        <v/>
      </c>
      <c r="O371" s="2">
        <f>IF(AND(N371&gt;5000,K371&lt;&gt;"East"),"High-Value Merchant Day","")</f>
        <v/>
      </c>
    </row>
    <row r="372">
      <c r="A372" s="2" t="inlineStr">
        <is>
          <t>TXN100370</t>
        </is>
      </c>
      <c r="B372" s="2" t="n">
        <v>245</v>
      </c>
      <c r="C372" s="2" t="n">
        <v>34</v>
      </c>
      <c r="D372" s="12" t="n">
        <v>46040.44583333333</v>
      </c>
      <c r="E372" s="8" t="n">
        <v>99</v>
      </c>
      <c r="F372" s="2" t="inlineStr">
        <is>
          <t>UPI</t>
        </is>
      </c>
      <c r="G372" s="2" t="inlineStr">
        <is>
          <t>captured</t>
        </is>
      </c>
      <c r="H372" s="2" t="n">
        <v>48</v>
      </c>
      <c r="I372" s="2">
        <f>IFERROR(VLOOKUP(C372,Merchants!$A$2:$D$41,2,FALSE),"Merchant not found")</f>
        <v/>
      </c>
      <c r="J372" s="2">
        <f>IFERROR(VLOOKUP(C372,Merchants!$A$2:$D$41,3,FALSE),"Merchant not found")</f>
        <v/>
      </c>
      <c r="K372" s="2">
        <f>IFERROR(VLOOKUP(C372,Merchants!$A$2:$D$41,4,FALSE),"Merchant not found")</f>
        <v/>
      </c>
      <c r="L372" s="7">
        <f>DATE(YEAR(D372),MONTH(D372),DAY(D372))</f>
        <v/>
      </c>
      <c r="M372" s="5">
        <f>IFERROR(HLOOKUP(F372,Fee_Tiers!$B$1:$E$2,2,FALSE),"Fee tier not found")</f>
        <v/>
      </c>
      <c r="N372" s="8">
        <f>SUMIFS(Daily_Merchant!$C$2:$C$444,Daily_Merchant!$A$2:$A$444,C372,Daily_Merchant!$B$2:$B$444,L372)</f>
        <v/>
      </c>
      <c r="O372" s="2">
        <f>IF(AND(N372&gt;5000,K372&lt;&gt;"East"),"High-Value Merchant Day","")</f>
        <v/>
      </c>
    </row>
    <row r="373">
      <c r="A373" s="2" t="inlineStr">
        <is>
          <t>TXN100371</t>
        </is>
      </c>
      <c r="B373" s="2" t="n">
        <v>273</v>
      </c>
      <c r="C373" s="2" t="n">
        <v>22</v>
      </c>
      <c r="D373" s="12" t="n">
        <v>46033.22847222222</v>
      </c>
      <c r="E373" s="8" t="n">
        <v>299</v>
      </c>
      <c r="F373" s="2" t="inlineStr">
        <is>
          <t>Wallet</t>
        </is>
      </c>
      <c r="G373" s="2" t="inlineStr">
        <is>
          <t>captured</t>
        </is>
      </c>
      <c r="H373" s="2" t="n">
        <v>69</v>
      </c>
      <c r="I373" s="2">
        <f>IFERROR(VLOOKUP(C373,Merchants!$A$2:$D$41,2,FALSE),"Merchant not found")</f>
        <v/>
      </c>
      <c r="J373" s="2">
        <f>IFERROR(VLOOKUP(C373,Merchants!$A$2:$D$41,3,FALSE),"Merchant not found")</f>
        <v/>
      </c>
      <c r="K373" s="2">
        <f>IFERROR(VLOOKUP(C373,Merchants!$A$2:$D$41,4,FALSE),"Merchant not found")</f>
        <v/>
      </c>
      <c r="L373" s="7">
        <f>DATE(YEAR(D373),MONTH(D373),DAY(D373))</f>
        <v/>
      </c>
      <c r="M373" s="5">
        <f>IFERROR(HLOOKUP(F373,Fee_Tiers!$B$1:$E$2,2,FALSE),"Fee tier not found")</f>
        <v/>
      </c>
      <c r="N373" s="8">
        <f>SUMIFS(Daily_Merchant!$C$2:$C$444,Daily_Merchant!$A$2:$A$444,C373,Daily_Merchant!$B$2:$B$444,L373)</f>
        <v/>
      </c>
      <c r="O373" s="2">
        <f>IF(AND(N373&gt;5000,K373&lt;&gt;"East"),"High-Value Merchant Day","")</f>
        <v/>
      </c>
    </row>
    <row r="374">
      <c r="A374" s="2" t="inlineStr">
        <is>
          <t>TXN100372</t>
        </is>
      </c>
      <c r="B374" s="2" t="n">
        <v>349</v>
      </c>
      <c r="C374" s="2" t="n">
        <v>17</v>
      </c>
      <c r="D374" s="12" t="n">
        <v>46034.90902777778</v>
      </c>
      <c r="E374" s="8" t="n">
        <v>1499</v>
      </c>
      <c r="F374" s="2" t="inlineStr">
        <is>
          <t>UPI</t>
        </is>
      </c>
      <c r="G374" s="2" t="inlineStr">
        <is>
          <t>captured</t>
        </is>
      </c>
      <c r="H374" s="2" t="n">
        <v>78</v>
      </c>
      <c r="I374" s="2">
        <f>IFERROR(VLOOKUP(C374,Merchants!$A$2:$D$41,2,FALSE),"Merchant not found")</f>
        <v/>
      </c>
      <c r="J374" s="2">
        <f>IFERROR(VLOOKUP(C374,Merchants!$A$2:$D$41,3,FALSE),"Merchant not found")</f>
        <v/>
      </c>
      <c r="K374" s="2">
        <f>IFERROR(VLOOKUP(C374,Merchants!$A$2:$D$41,4,FALSE),"Merchant not found")</f>
        <v/>
      </c>
      <c r="L374" s="7">
        <f>DATE(YEAR(D374),MONTH(D374),DAY(D374))</f>
        <v/>
      </c>
      <c r="M374" s="5">
        <f>IFERROR(HLOOKUP(F374,Fee_Tiers!$B$1:$E$2,2,FALSE),"Fee tier not found")</f>
        <v/>
      </c>
      <c r="N374" s="8">
        <f>SUMIFS(Daily_Merchant!$C$2:$C$444,Daily_Merchant!$A$2:$A$444,C374,Daily_Merchant!$B$2:$B$444,L374)</f>
        <v/>
      </c>
      <c r="O374" s="2">
        <f>IF(AND(N374&gt;5000,K374&lt;&gt;"East"),"High-Value Merchant Day","")</f>
        <v/>
      </c>
    </row>
    <row r="375">
      <c r="A375" s="2" t="inlineStr">
        <is>
          <t>TXN100373</t>
        </is>
      </c>
      <c r="B375" s="2" t="n">
        <v>143</v>
      </c>
      <c r="C375" s="2" t="n">
        <v>36</v>
      </c>
      <c r="D375" s="12" t="n">
        <v>46038.26041666666</v>
      </c>
      <c r="E375" s="8" t="n">
        <v>1499</v>
      </c>
      <c r="F375" s="2" t="inlineStr">
        <is>
          <t>Netbanking</t>
        </is>
      </c>
      <c r="G375" s="2" t="inlineStr">
        <is>
          <t>captured</t>
        </is>
      </c>
      <c r="H375" s="2" t="n">
        <v>38</v>
      </c>
      <c r="I375" s="2">
        <f>IFERROR(VLOOKUP(C375,Merchants!$A$2:$D$41,2,FALSE),"Merchant not found")</f>
        <v/>
      </c>
      <c r="J375" s="2">
        <f>IFERROR(VLOOKUP(C375,Merchants!$A$2:$D$41,3,FALSE),"Merchant not found")</f>
        <v/>
      </c>
      <c r="K375" s="2">
        <f>IFERROR(VLOOKUP(C375,Merchants!$A$2:$D$41,4,FALSE),"Merchant not found")</f>
        <v/>
      </c>
      <c r="L375" s="7">
        <f>DATE(YEAR(D375),MONTH(D375),DAY(D375))</f>
        <v/>
      </c>
      <c r="M375" s="5">
        <f>IFERROR(HLOOKUP(F375,Fee_Tiers!$B$1:$E$2,2,FALSE),"Fee tier not found")</f>
        <v/>
      </c>
      <c r="N375" s="8">
        <f>SUMIFS(Daily_Merchant!$C$2:$C$444,Daily_Merchant!$A$2:$A$444,C375,Daily_Merchant!$B$2:$B$444,L375)</f>
        <v/>
      </c>
      <c r="O375" s="2">
        <f>IF(AND(N375&gt;5000,K375&lt;&gt;"East"),"High-Value Merchant Day","")</f>
        <v/>
      </c>
    </row>
    <row r="376">
      <c r="A376" s="2" t="inlineStr">
        <is>
          <t>TXN100374</t>
        </is>
      </c>
      <c r="B376" s="2" t="n">
        <v>148</v>
      </c>
      <c r="C376" s="2" t="n">
        <v>14</v>
      </c>
      <c r="D376" s="12" t="n">
        <v>46030.40902777778</v>
      </c>
      <c r="E376" s="8" t="n">
        <v>799</v>
      </c>
      <c r="F376" s="2" t="inlineStr">
        <is>
          <t>Wallet</t>
        </is>
      </c>
      <c r="G376" s="2" t="inlineStr">
        <is>
          <t>captured</t>
        </is>
      </c>
      <c r="H376" s="2" t="n">
        <v>88</v>
      </c>
      <c r="I376" s="2">
        <f>IFERROR(VLOOKUP(C376,Merchants!$A$2:$D$41,2,FALSE),"Merchant not found")</f>
        <v/>
      </c>
      <c r="J376" s="2">
        <f>IFERROR(VLOOKUP(C376,Merchants!$A$2:$D$41,3,FALSE),"Merchant not found")</f>
        <v/>
      </c>
      <c r="K376" s="2">
        <f>IFERROR(VLOOKUP(C376,Merchants!$A$2:$D$41,4,FALSE),"Merchant not found")</f>
        <v/>
      </c>
      <c r="L376" s="7">
        <f>DATE(YEAR(D376),MONTH(D376),DAY(D376))</f>
        <v/>
      </c>
      <c r="M376" s="5">
        <f>IFERROR(HLOOKUP(F376,Fee_Tiers!$B$1:$E$2,2,FALSE),"Fee tier not found")</f>
        <v/>
      </c>
      <c r="N376" s="8">
        <f>SUMIFS(Daily_Merchant!$C$2:$C$444,Daily_Merchant!$A$2:$A$444,C376,Daily_Merchant!$B$2:$B$444,L376)</f>
        <v/>
      </c>
      <c r="O376" s="2">
        <f>IF(AND(N376&gt;5000,K376&lt;&gt;"East"),"High-Value Merchant Day","")</f>
        <v/>
      </c>
    </row>
    <row r="377">
      <c r="A377" s="2" t="inlineStr">
        <is>
          <t>TXN100375</t>
        </is>
      </c>
      <c r="B377" s="2" t="n">
        <v>246</v>
      </c>
      <c r="C377" s="2" t="n">
        <v>23</v>
      </c>
      <c r="D377" s="12" t="n">
        <v>46045.63888888889</v>
      </c>
      <c r="E377" s="8" t="n">
        <v>49</v>
      </c>
      <c r="F377" s="2" t="inlineStr">
        <is>
          <t>UPI</t>
        </is>
      </c>
      <c r="G377" s="2" t="inlineStr">
        <is>
          <t>captured</t>
        </is>
      </c>
      <c r="H377" s="2" t="n">
        <v>71</v>
      </c>
      <c r="I377" s="2">
        <f>IFERROR(VLOOKUP(C377,Merchants!$A$2:$D$41,2,FALSE),"Merchant not found")</f>
        <v/>
      </c>
      <c r="J377" s="2">
        <f>IFERROR(VLOOKUP(C377,Merchants!$A$2:$D$41,3,FALSE),"Merchant not found")</f>
        <v/>
      </c>
      <c r="K377" s="2">
        <f>IFERROR(VLOOKUP(C377,Merchants!$A$2:$D$41,4,FALSE),"Merchant not found")</f>
        <v/>
      </c>
      <c r="L377" s="7">
        <f>DATE(YEAR(D377),MONTH(D377),DAY(D377))</f>
        <v/>
      </c>
      <c r="M377" s="5">
        <f>IFERROR(HLOOKUP(F377,Fee_Tiers!$B$1:$E$2,2,FALSE),"Fee tier not found")</f>
        <v/>
      </c>
      <c r="N377" s="8">
        <f>SUMIFS(Daily_Merchant!$C$2:$C$444,Daily_Merchant!$A$2:$A$444,C377,Daily_Merchant!$B$2:$B$444,L377)</f>
        <v/>
      </c>
      <c r="O377" s="2">
        <f>IF(AND(N377&gt;5000,K377&lt;&gt;"East"),"High-Value Merchant Day","")</f>
        <v/>
      </c>
    </row>
    <row r="378">
      <c r="A378" s="2" t="inlineStr">
        <is>
          <t>TXN100376</t>
        </is>
      </c>
      <c r="B378" s="2" t="n">
        <v>148</v>
      </c>
      <c r="C378" s="2" t="n">
        <v>8</v>
      </c>
      <c r="D378" s="12" t="n">
        <v>46052.97013888889</v>
      </c>
      <c r="E378" s="8" t="n">
        <v>99</v>
      </c>
      <c r="F378" s="2" t="inlineStr">
        <is>
          <t>Wallet</t>
        </is>
      </c>
      <c r="G378" s="2" t="inlineStr">
        <is>
          <t>captured</t>
        </is>
      </c>
      <c r="H378" s="2" t="n">
        <v>73</v>
      </c>
      <c r="I378" s="2">
        <f>IFERROR(VLOOKUP(C378,Merchants!$A$2:$D$41,2,FALSE),"Merchant not found")</f>
        <v/>
      </c>
      <c r="J378" s="2">
        <f>IFERROR(VLOOKUP(C378,Merchants!$A$2:$D$41,3,FALSE),"Merchant not found")</f>
        <v/>
      </c>
      <c r="K378" s="2">
        <f>IFERROR(VLOOKUP(C378,Merchants!$A$2:$D$41,4,FALSE),"Merchant not found")</f>
        <v/>
      </c>
      <c r="L378" s="7">
        <f>DATE(YEAR(D378),MONTH(D378),DAY(D378))</f>
        <v/>
      </c>
      <c r="M378" s="5">
        <f>IFERROR(HLOOKUP(F378,Fee_Tiers!$B$1:$E$2,2,FALSE),"Fee tier not found")</f>
        <v/>
      </c>
      <c r="N378" s="8">
        <f>SUMIFS(Daily_Merchant!$C$2:$C$444,Daily_Merchant!$A$2:$A$444,C378,Daily_Merchant!$B$2:$B$444,L378)</f>
        <v/>
      </c>
      <c r="O378" s="2">
        <f>IF(AND(N378&gt;5000,K378&lt;&gt;"East"),"High-Value Merchant Day","")</f>
        <v/>
      </c>
    </row>
    <row r="379">
      <c r="A379" s="2" t="inlineStr">
        <is>
          <t>TXN100377</t>
        </is>
      </c>
      <c r="B379" s="2" t="n">
        <v>203</v>
      </c>
      <c r="C379" s="2" t="n">
        <v>23</v>
      </c>
      <c r="D379" s="12" t="n">
        <v>46044.725</v>
      </c>
      <c r="E379" s="8" t="n">
        <v>49</v>
      </c>
      <c r="F379" s="2" t="inlineStr">
        <is>
          <t>UPI</t>
        </is>
      </c>
      <c r="G379" s="2" t="inlineStr">
        <is>
          <t>captured</t>
        </is>
      </c>
      <c r="H379" s="2" t="n">
        <v>98</v>
      </c>
      <c r="I379" s="2">
        <f>IFERROR(VLOOKUP(C379,Merchants!$A$2:$D$41,2,FALSE),"Merchant not found")</f>
        <v/>
      </c>
      <c r="J379" s="2">
        <f>IFERROR(VLOOKUP(C379,Merchants!$A$2:$D$41,3,FALSE),"Merchant not found")</f>
        <v/>
      </c>
      <c r="K379" s="2">
        <f>IFERROR(VLOOKUP(C379,Merchants!$A$2:$D$41,4,FALSE),"Merchant not found")</f>
        <v/>
      </c>
      <c r="L379" s="7">
        <f>DATE(YEAR(D379),MONTH(D379),DAY(D379))</f>
        <v/>
      </c>
      <c r="M379" s="5">
        <f>IFERROR(HLOOKUP(F379,Fee_Tiers!$B$1:$E$2,2,FALSE),"Fee tier not found")</f>
        <v/>
      </c>
      <c r="N379" s="8">
        <f>SUMIFS(Daily_Merchant!$C$2:$C$444,Daily_Merchant!$A$2:$A$444,C379,Daily_Merchant!$B$2:$B$444,L379)</f>
        <v/>
      </c>
      <c r="O379" s="2">
        <f>IF(AND(N379&gt;5000,K379&lt;&gt;"East"),"High-Value Merchant Day","")</f>
        <v/>
      </c>
    </row>
    <row r="380">
      <c r="A380" s="2" t="inlineStr">
        <is>
          <t>TXN100378</t>
        </is>
      </c>
      <c r="B380" s="2" t="n">
        <v>22</v>
      </c>
      <c r="C380" s="2" t="n">
        <v>19</v>
      </c>
      <c r="D380" s="12" t="n">
        <v>46048.17916666667</v>
      </c>
      <c r="E380" s="8" t="n">
        <v>49</v>
      </c>
      <c r="F380" s="2" t="inlineStr">
        <is>
          <t>Card</t>
        </is>
      </c>
      <c r="G380" s="2" t="inlineStr">
        <is>
          <t>captured</t>
        </is>
      </c>
      <c r="H380" s="2" t="n">
        <v>91</v>
      </c>
      <c r="I380" s="2">
        <f>IFERROR(VLOOKUP(C380,Merchants!$A$2:$D$41,2,FALSE),"Merchant not found")</f>
        <v/>
      </c>
      <c r="J380" s="2">
        <f>IFERROR(VLOOKUP(C380,Merchants!$A$2:$D$41,3,FALSE),"Merchant not found")</f>
        <v/>
      </c>
      <c r="K380" s="2">
        <f>IFERROR(VLOOKUP(C380,Merchants!$A$2:$D$41,4,FALSE),"Merchant not found")</f>
        <v/>
      </c>
      <c r="L380" s="7">
        <f>DATE(YEAR(D380),MONTH(D380),DAY(D380))</f>
        <v/>
      </c>
      <c r="M380" s="5">
        <f>IFERROR(HLOOKUP(F380,Fee_Tiers!$B$1:$E$2,2,FALSE),"Fee tier not found")</f>
        <v/>
      </c>
      <c r="N380" s="8">
        <f>SUMIFS(Daily_Merchant!$C$2:$C$444,Daily_Merchant!$A$2:$A$444,C380,Daily_Merchant!$B$2:$B$444,L380)</f>
        <v/>
      </c>
      <c r="O380" s="2">
        <f>IF(AND(N380&gt;5000,K380&lt;&gt;"East"),"High-Value Merchant Day","")</f>
        <v/>
      </c>
    </row>
    <row r="381">
      <c r="A381" s="2" t="inlineStr">
        <is>
          <t>TXN100379</t>
        </is>
      </c>
      <c r="B381" s="2" t="n">
        <v>227</v>
      </c>
      <c r="C381" s="2" t="n">
        <v>17</v>
      </c>
      <c r="D381" s="12" t="n">
        <v>46025.49930555555</v>
      </c>
      <c r="E381" s="8" t="n">
        <v>299</v>
      </c>
      <c r="F381" s="2" t="inlineStr">
        <is>
          <t>Wallet</t>
        </is>
      </c>
      <c r="G381" s="2" t="inlineStr">
        <is>
          <t>captured</t>
        </is>
      </c>
      <c r="H381" s="2" t="n">
        <v>95</v>
      </c>
      <c r="I381" s="2">
        <f>IFERROR(VLOOKUP(C381,Merchants!$A$2:$D$41,2,FALSE),"Merchant not found")</f>
        <v/>
      </c>
      <c r="J381" s="2">
        <f>IFERROR(VLOOKUP(C381,Merchants!$A$2:$D$41,3,FALSE),"Merchant not found")</f>
        <v/>
      </c>
      <c r="K381" s="2">
        <f>IFERROR(VLOOKUP(C381,Merchants!$A$2:$D$41,4,FALSE),"Merchant not found")</f>
        <v/>
      </c>
      <c r="L381" s="7">
        <f>DATE(YEAR(D381),MONTH(D381),DAY(D381))</f>
        <v/>
      </c>
      <c r="M381" s="5">
        <f>IFERROR(HLOOKUP(F381,Fee_Tiers!$B$1:$E$2,2,FALSE),"Fee tier not found")</f>
        <v/>
      </c>
      <c r="N381" s="8">
        <f>SUMIFS(Daily_Merchant!$C$2:$C$444,Daily_Merchant!$A$2:$A$444,C381,Daily_Merchant!$B$2:$B$444,L381)</f>
        <v/>
      </c>
      <c r="O381" s="2">
        <f>IF(AND(N381&gt;5000,K381&lt;&gt;"East"),"High-Value Merchant Day","")</f>
        <v/>
      </c>
    </row>
    <row r="382">
      <c r="A382" s="2" t="inlineStr">
        <is>
          <t>TXN100380</t>
        </is>
      </c>
      <c r="B382" s="2" t="n">
        <v>276</v>
      </c>
      <c r="C382" s="2" t="n">
        <v>18</v>
      </c>
      <c r="D382" s="12" t="n">
        <v>46038.25833333333</v>
      </c>
      <c r="E382" s="8" t="n">
        <v>149</v>
      </c>
      <c r="F382" s="2" t="inlineStr">
        <is>
          <t>Wallet</t>
        </is>
      </c>
      <c r="G382" s="2" t="inlineStr">
        <is>
          <t>captured</t>
        </is>
      </c>
      <c r="H382" s="2" t="n">
        <v>71</v>
      </c>
      <c r="I382" s="2">
        <f>IFERROR(VLOOKUP(C382,Merchants!$A$2:$D$41,2,FALSE),"Merchant not found")</f>
        <v/>
      </c>
      <c r="J382" s="2">
        <f>IFERROR(VLOOKUP(C382,Merchants!$A$2:$D$41,3,FALSE),"Merchant not found")</f>
        <v/>
      </c>
      <c r="K382" s="2">
        <f>IFERROR(VLOOKUP(C382,Merchants!$A$2:$D$41,4,FALSE),"Merchant not found")</f>
        <v/>
      </c>
      <c r="L382" s="7">
        <f>DATE(YEAR(D382),MONTH(D382),DAY(D382))</f>
        <v/>
      </c>
      <c r="M382" s="5">
        <f>IFERROR(HLOOKUP(F382,Fee_Tiers!$B$1:$E$2,2,FALSE),"Fee tier not found")</f>
        <v/>
      </c>
      <c r="N382" s="8">
        <f>SUMIFS(Daily_Merchant!$C$2:$C$444,Daily_Merchant!$A$2:$A$444,C382,Daily_Merchant!$B$2:$B$444,L382)</f>
        <v/>
      </c>
      <c r="O382" s="2">
        <f>IF(AND(N382&gt;5000,K382&lt;&gt;"East"),"High-Value Merchant Day","")</f>
        <v/>
      </c>
    </row>
    <row r="383">
      <c r="A383" s="2" t="inlineStr">
        <is>
          <t>TXN100381</t>
        </is>
      </c>
      <c r="B383" s="2" t="n">
        <v>56</v>
      </c>
      <c r="C383" s="2" t="n">
        <v>40</v>
      </c>
      <c r="D383" s="12" t="n">
        <v>46045.33888888889</v>
      </c>
      <c r="E383" s="8" t="n">
        <v>99</v>
      </c>
      <c r="F383" s="2" t="inlineStr">
        <is>
          <t>Card</t>
        </is>
      </c>
      <c r="G383" s="2" t="inlineStr">
        <is>
          <t>captured</t>
        </is>
      </c>
      <c r="H383" s="2" t="n">
        <v>94</v>
      </c>
      <c r="I383" s="2">
        <f>IFERROR(VLOOKUP(C383,Merchants!$A$2:$D$41,2,FALSE),"Merchant not found")</f>
        <v/>
      </c>
      <c r="J383" s="2">
        <f>IFERROR(VLOOKUP(C383,Merchants!$A$2:$D$41,3,FALSE),"Merchant not found")</f>
        <v/>
      </c>
      <c r="K383" s="2">
        <f>IFERROR(VLOOKUP(C383,Merchants!$A$2:$D$41,4,FALSE),"Merchant not found")</f>
        <v/>
      </c>
      <c r="L383" s="7">
        <f>DATE(YEAR(D383),MONTH(D383),DAY(D383))</f>
        <v/>
      </c>
      <c r="M383" s="5">
        <f>IFERROR(HLOOKUP(F383,Fee_Tiers!$B$1:$E$2,2,FALSE),"Fee tier not found")</f>
        <v/>
      </c>
      <c r="N383" s="8">
        <f>SUMIFS(Daily_Merchant!$C$2:$C$444,Daily_Merchant!$A$2:$A$444,C383,Daily_Merchant!$B$2:$B$444,L383)</f>
        <v/>
      </c>
      <c r="O383" s="2">
        <f>IF(AND(N383&gt;5000,K383&lt;&gt;"East"),"High-Value Merchant Day","")</f>
        <v/>
      </c>
    </row>
    <row r="384">
      <c r="A384" s="2" t="inlineStr">
        <is>
          <t>TXN100382</t>
        </is>
      </c>
      <c r="B384" s="2" t="n">
        <v>26</v>
      </c>
      <c r="C384" s="2" t="n">
        <v>34</v>
      </c>
      <c r="D384" s="12" t="n">
        <v>46041.30208333334</v>
      </c>
      <c r="E384" s="8" t="n">
        <v>499</v>
      </c>
      <c r="F384" s="2" t="inlineStr">
        <is>
          <t>Card</t>
        </is>
      </c>
      <c r="G384" s="2" t="inlineStr">
        <is>
          <t>captured</t>
        </is>
      </c>
      <c r="H384" s="2" t="n">
        <v>28</v>
      </c>
      <c r="I384" s="2">
        <f>IFERROR(VLOOKUP(C384,Merchants!$A$2:$D$41,2,FALSE),"Merchant not found")</f>
        <v/>
      </c>
      <c r="J384" s="2">
        <f>IFERROR(VLOOKUP(C384,Merchants!$A$2:$D$41,3,FALSE),"Merchant not found")</f>
        <v/>
      </c>
      <c r="K384" s="2">
        <f>IFERROR(VLOOKUP(C384,Merchants!$A$2:$D$41,4,FALSE),"Merchant not found")</f>
        <v/>
      </c>
      <c r="L384" s="7">
        <f>DATE(YEAR(D384),MONTH(D384),DAY(D384))</f>
        <v/>
      </c>
      <c r="M384" s="5">
        <f>IFERROR(HLOOKUP(F384,Fee_Tiers!$B$1:$E$2,2,FALSE),"Fee tier not found")</f>
        <v/>
      </c>
      <c r="N384" s="8">
        <f>SUMIFS(Daily_Merchant!$C$2:$C$444,Daily_Merchant!$A$2:$A$444,C384,Daily_Merchant!$B$2:$B$444,L384)</f>
        <v/>
      </c>
      <c r="O384" s="2">
        <f>IF(AND(N384&gt;5000,K384&lt;&gt;"East"),"High-Value Merchant Day","")</f>
        <v/>
      </c>
    </row>
    <row r="385">
      <c r="A385" s="2" t="inlineStr">
        <is>
          <t>TXN100383</t>
        </is>
      </c>
      <c r="B385" s="2" t="n">
        <v>52</v>
      </c>
      <c r="C385" s="2" t="n">
        <v>27</v>
      </c>
      <c r="D385" s="12" t="n">
        <v>46043.29375</v>
      </c>
      <c r="E385" s="8" t="n">
        <v>499</v>
      </c>
      <c r="F385" s="2" t="inlineStr">
        <is>
          <t>Card</t>
        </is>
      </c>
      <c r="G385" s="2" t="inlineStr">
        <is>
          <t>captured</t>
        </is>
      </c>
      <c r="H385" s="2" t="n">
        <v>42</v>
      </c>
      <c r="I385" s="2">
        <f>IFERROR(VLOOKUP(C385,Merchants!$A$2:$D$41,2,FALSE),"Merchant not found")</f>
        <v/>
      </c>
      <c r="J385" s="2">
        <f>IFERROR(VLOOKUP(C385,Merchants!$A$2:$D$41,3,FALSE),"Merchant not found")</f>
        <v/>
      </c>
      <c r="K385" s="2">
        <f>IFERROR(VLOOKUP(C385,Merchants!$A$2:$D$41,4,FALSE),"Merchant not found")</f>
        <v/>
      </c>
      <c r="L385" s="7">
        <f>DATE(YEAR(D385),MONTH(D385),DAY(D385))</f>
        <v/>
      </c>
      <c r="M385" s="5">
        <f>IFERROR(HLOOKUP(F385,Fee_Tiers!$B$1:$E$2,2,FALSE),"Fee tier not found")</f>
        <v/>
      </c>
      <c r="N385" s="8">
        <f>SUMIFS(Daily_Merchant!$C$2:$C$444,Daily_Merchant!$A$2:$A$444,C385,Daily_Merchant!$B$2:$B$444,L385)</f>
        <v/>
      </c>
      <c r="O385" s="2">
        <f>IF(AND(N385&gt;5000,K385&lt;&gt;"East"),"High-Value Merchant Day","")</f>
        <v/>
      </c>
    </row>
    <row r="386">
      <c r="A386" s="2" t="inlineStr">
        <is>
          <t>TXN100384</t>
        </is>
      </c>
      <c r="B386" s="2" t="n">
        <v>349</v>
      </c>
      <c r="C386" s="2" t="n">
        <v>9</v>
      </c>
      <c r="D386" s="12" t="n">
        <v>46045.62916666667</v>
      </c>
      <c r="E386" s="8" t="n">
        <v>499</v>
      </c>
      <c r="F386" s="2" t="inlineStr">
        <is>
          <t>Wallet</t>
        </is>
      </c>
      <c r="G386" s="2" t="inlineStr">
        <is>
          <t>captured</t>
        </is>
      </c>
      <c r="H386" s="2" t="n">
        <v>0</v>
      </c>
      <c r="I386" s="2">
        <f>IFERROR(VLOOKUP(C386,Merchants!$A$2:$D$41,2,FALSE),"Merchant not found")</f>
        <v/>
      </c>
      <c r="J386" s="2">
        <f>IFERROR(VLOOKUP(C386,Merchants!$A$2:$D$41,3,FALSE),"Merchant not found")</f>
        <v/>
      </c>
      <c r="K386" s="2">
        <f>IFERROR(VLOOKUP(C386,Merchants!$A$2:$D$41,4,FALSE),"Merchant not found")</f>
        <v/>
      </c>
      <c r="L386" s="7">
        <f>DATE(YEAR(D386),MONTH(D386),DAY(D386))</f>
        <v/>
      </c>
      <c r="M386" s="5">
        <f>IFERROR(HLOOKUP(F386,Fee_Tiers!$B$1:$E$2,2,FALSE),"Fee tier not found")</f>
        <v/>
      </c>
      <c r="N386" s="8">
        <f>SUMIFS(Daily_Merchant!$C$2:$C$444,Daily_Merchant!$A$2:$A$444,C386,Daily_Merchant!$B$2:$B$444,L386)</f>
        <v/>
      </c>
      <c r="O386" s="2">
        <f>IF(AND(N386&gt;5000,K386&lt;&gt;"East"),"High-Value Merchant Day","")</f>
        <v/>
      </c>
    </row>
    <row r="387">
      <c r="A387" s="2" t="inlineStr">
        <is>
          <t>TXN100385</t>
        </is>
      </c>
      <c r="B387" s="2" t="n">
        <v>335</v>
      </c>
      <c r="C387" s="2" t="n">
        <v>31</v>
      </c>
      <c r="D387" s="12" t="n">
        <v>46040.22638888889</v>
      </c>
      <c r="E387" s="8" t="n">
        <v>49</v>
      </c>
      <c r="F387" s="2" t="inlineStr">
        <is>
          <t>Card</t>
        </is>
      </c>
      <c r="G387" s="2" t="inlineStr">
        <is>
          <t>captured</t>
        </is>
      </c>
      <c r="H387" s="2" t="n">
        <v>61</v>
      </c>
      <c r="I387" s="2">
        <f>IFERROR(VLOOKUP(C387,Merchants!$A$2:$D$41,2,FALSE),"Merchant not found")</f>
        <v/>
      </c>
      <c r="J387" s="2">
        <f>IFERROR(VLOOKUP(C387,Merchants!$A$2:$D$41,3,FALSE),"Merchant not found")</f>
        <v/>
      </c>
      <c r="K387" s="2">
        <f>IFERROR(VLOOKUP(C387,Merchants!$A$2:$D$41,4,FALSE),"Merchant not found")</f>
        <v/>
      </c>
      <c r="L387" s="7">
        <f>DATE(YEAR(D387),MONTH(D387),DAY(D387))</f>
        <v/>
      </c>
      <c r="M387" s="5">
        <f>IFERROR(HLOOKUP(F387,Fee_Tiers!$B$1:$E$2,2,FALSE),"Fee tier not found")</f>
        <v/>
      </c>
      <c r="N387" s="8">
        <f>SUMIFS(Daily_Merchant!$C$2:$C$444,Daily_Merchant!$A$2:$A$444,C387,Daily_Merchant!$B$2:$B$444,L387)</f>
        <v/>
      </c>
      <c r="O387" s="2">
        <f>IF(AND(N387&gt;5000,K387&lt;&gt;"East"),"High-Value Merchant Day","")</f>
        <v/>
      </c>
    </row>
    <row r="388">
      <c r="A388" s="2" t="inlineStr">
        <is>
          <t>TXN100386</t>
        </is>
      </c>
      <c r="B388" s="2" t="n">
        <v>148</v>
      </c>
      <c r="C388" s="2" t="n">
        <v>21</v>
      </c>
      <c r="D388" s="12" t="n">
        <v>46043.28333333333</v>
      </c>
      <c r="E388" s="8" t="n">
        <v>49</v>
      </c>
      <c r="F388" s="2" t="inlineStr">
        <is>
          <t>Card</t>
        </is>
      </c>
      <c r="G388" s="2" t="inlineStr">
        <is>
          <t>captured</t>
        </is>
      </c>
      <c r="H388" s="2" t="n">
        <v>36</v>
      </c>
      <c r="I388" s="2">
        <f>IFERROR(VLOOKUP(C388,Merchants!$A$2:$D$41,2,FALSE),"Merchant not found")</f>
        <v/>
      </c>
      <c r="J388" s="2">
        <f>IFERROR(VLOOKUP(C388,Merchants!$A$2:$D$41,3,FALSE),"Merchant not found")</f>
        <v/>
      </c>
      <c r="K388" s="2">
        <f>IFERROR(VLOOKUP(C388,Merchants!$A$2:$D$41,4,FALSE),"Merchant not found")</f>
        <v/>
      </c>
      <c r="L388" s="7">
        <f>DATE(YEAR(D388),MONTH(D388),DAY(D388))</f>
        <v/>
      </c>
      <c r="M388" s="5">
        <f>IFERROR(HLOOKUP(F388,Fee_Tiers!$B$1:$E$2,2,FALSE),"Fee tier not found")</f>
        <v/>
      </c>
      <c r="N388" s="8">
        <f>SUMIFS(Daily_Merchant!$C$2:$C$444,Daily_Merchant!$A$2:$A$444,C388,Daily_Merchant!$B$2:$B$444,L388)</f>
        <v/>
      </c>
      <c r="O388" s="2">
        <f>IF(AND(N388&gt;5000,K388&lt;&gt;"East"),"High-Value Merchant Day","")</f>
        <v/>
      </c>
    </row>
    <row r="389">
      <c r="A389" s="2" t="inlineStr">
        <is>
          <t>TXN100387</t>
        </is>
      </c>
      <c r="B389" s="2" t="n">
        <v>46</v>
      </c>
      <c r="C389" s="2" t="n">
        <v>37</v>
      </c>
      <c r="D389" s="12" t="n">
        <v>46043.08194444444</v>
      </c>
      <c r="E389" s="8" t="n">
        <v>99</v>
      </c>
      <c r="F389" s="2" t="inlineStr">
        <is>
          <t>Wallet</t>
        </is>
      </c>
      <c r="G389" s="2" t="inlineStr">
        <is>
          <t>captured</t>
        </is>
      </c>
      <c r="H389" s="2" t="n">
        <v>29</v>
      </c>
      <c r="I389" s="2">
        <f>IFERROR(VLOOKUP(C389,Merchants!$A$2:$D$41,2,FALSE),"Merchant not found")</f>
        <v/>
      </c>
      <c r="J389" s="2">
        <f>IFERROR(VLOOKUP(C389,Merchants!$A$2:$D$41,3,FALSE),"Merchant not found")</f>
        <v/>
      </c>
      <c r="K389" s="2">
        <f>IFERROR(VLOOKUP(C389,Merchants!$A$2:$D$41,4,FALSE),"Merchant not found")</f>
        <v/>
      </c>
      <c r="L389" s="7">
        <f>DATE(YEAR(D389),MONTH(D389),DAY(D389))</f>
        <v/>
      </c>
      <c r="M389" s="5">
        <f>IFERROR(HLOOKUP(F389,Fee_Tiers!$B$1:$E$2,2,FALSE),"Fee tier not found")</f>
        <v/>
      </c>
      <c r="N389" s="8">
        <f>SUMIFS(Daily_Merchant!$C$2:$C$444,Daily_Merchant!$A$2:$A$444,C389,Daily_Merchant!$B$2:$B$444,L389)</f>
        <v/>
      </c>
      <c r="O389" s="2">
        <f>IF(AND(N389&gt;5000,K389&lt;&gt;"East"),"High-Value Merchant Day","")</f>
        <v/>
      </c>
    </row>
    <row r="390">
      <c r="A390" s="2" t="inlineStr">
        <is>
          <t>TXN100388</t>
        </is>
      </c>
      <c r="B390" s="2" t="n">
        <v>20</v>
      </c>
      <c r="C390" s="2" t="n">
        <v>12</v>
      </c>
      <c r="D390" s="12" t="n">
        <v>46040.99027777778</v>
      </c>
      <c r="E390" s="8" t="n">
        <v>799</v>
      </c>
      <c r="F390" s="2" t="inlineStr">
        <is>
          <t>Card</t>
        </is>
      </c>
      <c r="G390" s="2" t="inlineStr">
        <is>
          <t>captured</t>
        </is>
      </c>
      <c r="H390" s="2" t="n">
        <v>53</v>
      </c>
      <c r="I390" s="2">
        <f>IFERROR(VLOOKUP(C390,Merchants!$A$2:$D$41,2,FALSE),"Merchant not found")</f>
        <v/>
      </c>
      <c r="J390" s="2">
        <f>IFERROR(VLOOKUP(C390,Merchants!$A$2:$D$41,3,FALSE),"Merchant not found")</f>
        <v/>
      </c>
      <c r="K390" s="2">
        <f>IFERROR(VLOOKUP(C390,Merchants!$A$2:$D$41,4,FALSE),"Merchant not found")</f>
        <v/>
      </c>
      <c r="L390" s="7">
        <f>DATE(YEAR(D390),MONTH(D390),DAY(D390))</f>
        <v/>
      </c>
      <c r="M390" s="5">
        <f>IFERROR(HLOOKUP(F390,Fee_Tiers!$B$1:$E$2,2,FALSE),"Fee tier not found")</f>
        <v/>
      </c>
      <c r="N390" s="8">
        <f>SUMIFS(Daily_Merchant!$C$2:$C$444,Daily_Merchant!$A$2:$A$444,C390,Daily_Merchant!$B$2:$B$444,L390)</f>
        <v/>
      </c>
      <c r="O390" s="2">
        <f>IF(AND(N390&gt;5000,K390&lt;&gt;"East"),"High-Value Merchant Day","")</f>
        <v/>
      </c>
    </row>
    <row r="391">
      <c r="A391" s="2" t="inlineStr">
        <is>
          <t>TXN100389</t>
        </is>
      </c>
      <c r="B391" s="2" t="n">
        <v>19</v>
      </c>
      <c r="C391" s="2" t="n">
        <v>26</v>
      </c>
      <c r="D391" s="12" t="n">
        <v>46051.24930555555</v>
      </c>
      <c r="E391" s="8" t="n">
        <v>49</v>
      </c>
      <c r="F391" s="2" t="inlineStr">
        <is>
          <t>UPI</t>
        </is>
      </c>
      <c r="G391" s="2" t="inlineStr">
        <is>
          <t>captured</t>
        </is>
      </c>
      <c r="H391" s="2" t="n">
        <v>100</v>
      </c>
      <c r="I391" s="2">
        <f>IFERROR(VLOOKUP(C391,Merchants!$A$2:$D$41,2,FALSE),"Merchant not found")</f>
        <v/>
      </c>
      <c r="J391" s="2">
        <f>IFERROR(VLOOKUP(C391,Merchants!$A$2:$D$41,3,FALSE),"Merchant not found")</f>
        <v/>
      </c>
      <c r="K391" s="2">
        <f>IFERROR(VLOOKUP(C391,Merchants!$A$2:$D$41,4,FALSE),"Merchant not found")</f>
        <v/>
      </c>
      <c r="L391" s="7">
        <f>DATE(YEAR(D391),MONTH(D391),DAY(D391))</f>
        <v/>
      </c>
      <c r="M391" s="5">
        <f>IFERROR(HLOOKUP(F391,Fee_Tiers!$B$1:$E$2,2,FALSE),"Fee tier not found")</f>
        <v/>
      </c>
      <c r="N391" s="8">
        <f>SUMIFS(Daily_Merchant!$C$2:$C$444,Daily_Merchant!$A$2:$A$444,C391,Daily_Merchant!$B$2:$B$444,L391)</f>
        <v/>
      </c>
      <c r="O391" s="2">
        <f>IF(AND(N391&gt;5000,K391&lt;&gt;"East"),"High-Value Merchant Day","")</f>
        <v/>
      </c>
    </row>
    <row r="392">
      <c r="A392" s="2" t="inlineStr">
        <is>
          <t>TXN100390</t>
        </is>
      </c>
      <c r="B392" s="2" t="n">
        <v>149</v>
      </c>
      <c r="C392" s="2" t="n">
        <v>3</v>
      </c>
      <c r="D392" s="12" t="n">
        <v>46038.24930555555</v>
      </c>
      <c r="E392" s="8" t="n">
        <v>4999</v>
      </c>
      <c r="F392" s="2" t="inlineStr">
        <is>
          <t>Wallet</t>
        </is>
      </c>
      <c r="G392" s="2" t="inlineStr">
        <is>
          <t>captured</t>
        </is>
      </c>
      <c r="H392" s="2" t="n">
        <v>1</v>
      </c>
      <c r="I392" s="2">
        <f>IFERROR(VLOOKUP(C392,Merchants!$A$2:$D$41,2,FALSE),"Merchant not found")</f>
        <v/>
      </c>
      <c r="J392" s="2">
        <f>IFERROR(VLOOKUP(C392,Merchants!$A$2:$D$41,3,FALSE),"Merchant not found")</f>
        <v/>
      </c>
      <c r="K392" s="2">
        <f>IFERROR(VLOOKUP(C392,Merchants!$A$2:$D$41,4,FALSE),"Merchant not found")</f>
        <v/>
      </c>
      <c r="L392" s="7">
        <f>DATE(YEAR(D392),MONTH(D392),DAY(D392))</f>
        <v/>
      </c>
      <c r="M392" s="5">
        <f>IFERROR(HLOOKUP(F392,Fee_Tiers!$B$1:$E$2,2,FALSE),"Fee tier not found")</f>
        <v/>
      </c>
      <c r="N392" s="8">
        <f>SUMIFS(Daily_Merchant!$C$2:$C$444,Daily_Merchant!$A$2:$A$444,C392,Daily_Merchant!$B$2:$B$444,L392)</f>
        <v/>
      </c>
      <c r="O392" s="2">
        <f>IF(AND(N392&gt;5000,K392&lt;&gt;"East"),"High-Value Merchant Day","")</f>
        <v/>
      </c>
    </row>
    <row r="393">
      <c r="A393" s="2" t="inlineStr">
        <is>
          <t>TXN100391</t>
        </is>
      </c>
      <c r="B393" s="2" t="n">
        <v>55</v>
      </c>
      <c r="C393" s="2" t="n">
        <v>22</v>
      </c>
      <c r="D393" s="12" t="n">
        <v>46032.77638888889</v>
      </c>
      <c r="E393" s="8" t="n">
        <v>499</v>
      </c>
      <c r="F393" s="2" t="inlineStr">
        <is>
          <t>UPI</t>
        </is>
      </c>
      <c r="G393" s="2" t="inlineStr">
        <is>
          <t>captured</t>
        </is>
      </c>
      <c r="H393" s="2" t="n">
        <v>36</v>
      </c>
      <c r="I393" s="2">
        <f>IFERROR(VLOOKUP(C393,Merchants!$A$2:$D$41,2,FALSE),"Merchant not found")</f>
        <v/>
      </c>
      <c r="J393" s="2">
        <f>IFERROR(VLOOKUP(C393,Merchants!$A$2:$D$41,3,FALSE),"Merchant not found")</f>
        <v/>
      </c>
      <c r="K393" s="2">
        <f>IFERROR(VLOOKUP(C393,Merchants!$A$2:$D$41,4,FALSE),"Merchant not found")</f>
        <v/>
      </c>
      <c r="L393" s="7">
        <f>DATE(YEAR(D393),MONTH(D393),DAY(D393))</f>
        <v/>
      </c>
      <c r="M393" s="5">
        <f>IFERROR(HLOOKUP(F393,Fee_Tiers!$B$1:$E$2,2,FALSE),"Fee tier not found")</f>
        <v/>
      </c>
      <c r="N393" s="8">
        <f>SUMIFS(Daily_Merchant!$C$2:$C$444,Daily_Merchant!$A$2:$A$444,C393,Daily_Merchant!$B$2:$B$444,L393)</f>
        <v/>
      </c>
      <c r="O393" s="2">
        <f>IF(AND(N393&gt;5000,K393&lt;&gt;"East"),"High-Value Merchant Day","")</f>
        <v/>
      </c>
    </row>
    <row r="394">
      <c r="A394" s="2" t="inlineStr">
        <is>
          <t>TXN100392</t>
        </is>
      </c>
      <c r="B394" s="2" t="n">
        <v>269</v>
      </c>
      <c r="C394" s="2" t="n">
        <v>32</v>
      </c>
      <c r="D394" s="12" t="n">
        <v>46037.85694444444</v>
      </c>
      <c r="E394" s="8" t="n">
        <v>49</v>
      </c>
      <c r="F394" s="2" t="inlineStr">
        <is>
          <t>Card</t>
        </is>
      </c>
      <c r="G394" s="2" t="inlineStr">
        <is>
          <t>captured</t>
        </is>
      </c>
      <c r="H394" s="2" t="n">
        <v>17</v>
      </c>
      <c r="I394" s="2">
        <f>IFERROR(VLOOKUP(C394,Merchants!$A$2:$D$41,2,FALSE),"Merchant not found")</f>
        <v/>
      </c>
      <c r="J394" s="2">
        <f>IFERROR(VLOOKUP(C394,Merchants!$A$2:$D$41,3,FALSE),"Merchant not found")</f>
        <v/>
      </c>
      <c r="K394" s="2">
        <f>IFERROR(VLOOKUP(C394,Merchants!$A$2:$D$41,4,FALSE),"Merchant not found")</f>
        <v/>
      </c>
      <c r="L394" s="7">
        <f>DATE(YEAR(D394),MONTH(D394),DAY(D394))</f>
        <v/>
      </c>
      <c r="M394" s="5">
        <f>IFERROR(HLOOKUP(F394,Fee_Tiers!$B$1:$E$2,2,FALSE),"Fee tier not found")</f>
        <v/>
      </c>
      <c r="N394" s="8">
        <f>SUMIFS(Daily_Merchant!$C$2:$C$444,Daily_Merchant!$A$2:$A$444,C394,Daily_Merchant!$B$2:$B$444,L394)</f>
        <v/>
      </c>
      <c r="O394" s="2">
        <f>IF(AND(N394&gt;5000,K394&lt;&gt;"East"),"High-Value Merchant Day","")</f>
        <v/>
      </c>
    </row>
    <row r="395">
      <c r="A395" s="2" t="inlineStr">
        <is>
          <t>TXN100393</t>
        </is>
      </c>
      <c r="B395" s="2" t="n">
        <v>140</v>
      </c>
      <c r="C395" s="2" t="n">
        <v>13</v>
      </c>
      <c r="D395" s="12" t="n">
        <v>46050.68680555555</v>
      </c>
      <c r="E395" s="8" t="n">
        <v>2999</v>
      </c>
      <c r="F395" s="2" t="inlineStr">
        <is>
          <t>UPI</t>
        </is>
      </c>
      <c r="G395" s="2" t="inlineStr">
        <is>
          <t>captured</t>
        </is>
      </c>
      <c r="H395" s="2" t="n">
        <v>14</v>
      </c>
      <c r="I395" s="2">
        <f>IFERROR(VLOOKUP(C395,Merchants!$A$2:$D$41,2,FALSE),"Merchant not found")</f>
        <v/>
      </c>
      <c r="J395" s="2">
        <f>IFERROR(VLOOKUP(C395,Merchants!$A$2:$D$41,3,FALSE),"Merchant not found")</f>
        <v/>
      </c>
      <c r="K395" s="2">
        <f>IFERROR(VLOOKUP(C395,Merchants!$A$2:$D$41,4,FALSE),"Merchant not found")</f>
        <v/>
      </c>
      <c r="L395" s="7">
        <f>DATE(YEAR(D395),MONTH(D395),DAY(D395))</f>
        <v/>
      </c>
      <c r="M395" s="5">
        <f>IFERROR(HLOOKUP(F395,Fee_Tiers!$B$1:$E$2,2,FALSE),"Fee tier not found")</f>
        <v/>
      </c>
      <c r="N395" s="8">
        <f>SUMIFS(Daily_Merchant!$C$2:$C$444,Daily_Merchant!$A$2:$A$444,C395,Daily_Merchant!$B$2:$B$444,L395)</f>
        <v/>
      </c>
      <c r="O395" s="2">
        <f>IF(AND(N395&gt;5000,K395&lt;&gt;"East"),"High-Value Merchant Day","")</f>
        <v/>
      </c>
    </row>
    <row r="396">
      <c r="A396" s="2" t="inlineStr">
        <is>
          <t>TXN100394</t>
        </is>
      </c>
      <c r="B396" s="2" t="n">
        <v>235</v>
      </c>
      <c r="C396" s="2" t="n">
        <v>17</v>
      </c>
      <c r="D396" s="12" t="n">
        <v>46033.24027777778</v>
      </c>
      <c r="E396" s="8" t="n">
        <v>2999</v>
      </c>
      <c r="F396" s="2" t="inlineStr">
        <is>
          <t>UPI</t>
        </is>
      </c>
      <c r="G396" s="2" t="inlineStr">
        <is>
          <t>captured</t>
        </is>
      </c>
      <c r="H396" s="2" t="n">
        <v>91</v>
      </c>
      <c r="I396" s="2">
        <f>IFERROR(VLOOKUP(C396,Merchants!$A$2:$D$41,2,FALSE),"Merchant not found")</f>
        <v/>
      </c>
      <c r="J396" s="2">
        <f>IFERROR(VLOOKUP(C396,Merchants!$A$2:$D$41,3,FALSE),"Merchant not found")</f>
        <v/>
      </c>
      <c r="K396" s="2">
        <f>IFERROR(VLOOKUP(C396,Merchants!$A$2:$D$41,4,FALSE),"Merchant not found")</f>
        <v/>
      </c>
      <c r="L396" s="7">
        <f>DATE(YEAR(D396),MONTH(D396),DAY(D396))</f>
        <v/>
      </c>
      <c r="M396" s="5">
        <f>IFERROR(HLOOKUP(F396,Fee_Tiers!$B$1:$E$2,2,FALSE),"Fee tier not found")</f>
        <v/>
      </c>
      <c r="N396" s="8">
        <f>SUMIFS(Daily_Merchant!$C$2:$C$444,Daily_Merchant!$A$2:$A$444,C396,Daily_Merchant!$B$2:$B$444,L396)</f>
        <v/>
      </c>
      <c r="O396" s="2">
        <f>IF(AND(N396&gt;5000,K396&lt;&gt;"East"),"High-Value Merchant Day","")</f>
        <v/>
      </c>
    </row>
    <row r="397">
      <c r="A397" s="2" t="inlineStr">
        <is>
          <t>TXN100395</t>
        </is>
      </c>
      <c r="B397" s="2" t="n">
        <v>173</v>
      </c>
      <c r="C397" s="2" t="n">
        <v>19</v>
      </c>
      <c r="D397" s="12" t="n">
        <v>46028.03263888889</v>
      </c>
      <c r="E397" s="8" t="n">
        <v>499</v>
      </c>
      <c r="F397" s="2" t="inlineStr">
        <is>
          <t>UPI</t>
        </is>
      </c>
      <c r="G397" s="2" t="inlineStr">
        <is>
          <t>failed</t>
        </is>
      </c>
      <c r="H397" s="2" t="n">
        <v>72</v>
      </c>
      <c r="I397" s="2">
        <f>IFERROR(VLOOKUP(C397,Merchants!$A$2:$D$41,2,FALSE),"Merchant not found")</f>
        <v/>
      </c>
      <c r="J397" s="2">
        <f>IFERROR(VLOOKUP(C397,Merchants!$A$2:$D$41,3,FALSE),"Merchant not found")</f>
        <v/>
      </c>
      <c r="K397" s="2">
        <f>IFERROR(VLOOKUP(C397,Merchants!$A$2:$D$41,4,FALSE),"Merchant not found")</f>
        <v/>
      </c>
      <c r="L397" s="7">
        <f>DATE(YEAR(D397),MONTH(D397),DAY(D397))</f>
        <v/>
      </c>
      <c r="M397" s="5">
        <f>IFERROR(HLOOKUP(F397,Fee_Tiers!$B$1:$E$2,2,FALSE),"Fee tier not found")</f>
        <v/>
      </c>
      <c r="N397" s="8">
        <f>SUMIFS(Daily_Merchant!$C$2:$C$444,Daily_Merchant!$A$2:$A$444,C397,Daily_Merchant!$B$2:$B$444,L397)</f>
        <v/>
      </c>
      <c r="O397" s="2">
        <f>IF(AND(N397&gt;5000,K397&lt;&gt;"East"),"High-Value Merchant Day","")</f>
        <v/>
      </c>
    </row>
    <row r="398">
      <c r="A398" s="2" t="inlineStr">
        <is>
          <t>TXN100396</t>
        </is>
      </c>
      <c r="B398" s="2" t="n">
        <v>313</v>
      </c>
      <c r="C398" s="2" t="n">
        <v>26</v>
      </c>
      <c r="D398" s="12" t="n">
        <v>46044.25763888889</v>
      </c>
      <c r="E398" s="8" t="n">
        <v>499</v>
      </c>
      <c r="F398" s="2" t="inlineStr">
        <is>
          <t>UPI</t>
        </is>
      </c>
      <c r="G398" s="2" t="inlineStr">
        <is>
          <t>captured</t>
        </is>
      </c>
      <c r="H398" s="2" t="n">
        <v>54</v>
      </c>
      <c r="I398" s="2">
        <f>IFERROR(VLOOKUP(C398,Merchants!$A$2:$D$41,2,FALSE),"Merchant not found")</f>
        <v/>
      </c>
      <c r="J398" s="2">
        <f>IFERROR(VLOOKUP(C398,Merchants!$A$2:$D$41,3,FALSE),"Merchant not found")</f>
        <v/>
      </c>
      <c r="K398" s="2">
        <f>IFERROR(VLOOKUP(C398,Merchants!$A$2:$D$41,4,FALSE),"Merchant not found")</f>
        <v/>
      </c>
      <c r="L398" s="7">
        <f>DATE(YEAR(D398),MONTH(D398),DAY(D398))</f>
        <v/>
      </c>
      <c r="M398" s="5">
        <f>IFERROR(HLOOKUP(F398,Fee_Tiers!$B$1:$E$2,2,FALSE),"Fee tier not found")</f>
        <v/>
      </c>
      <c r="N398" s="8">
        <f>SUMIFS(Daily_Merchant!$C$2:$C$444,Daily_Merchant!$A$2:$A$444,C398,Daily_Merchant!$B$2:$B$444,L398)</f>
        <v/>
      </c>
      <c r="O398" s="2">
        <f>IF(AND(N398&gt;5000,K398&lt;&gt;"East"),"High-Value Merchant Day","")</f>
        <v/>
      </c>
    </row>
    <row r="399">
      <c r="A399" s="2" t="inlineStr">
        <is>
          <t>TXN100397</t>
        </is>
      </c>
      <c r="B399" s="2" t="n">
        <v>206</v>
      </c>
      <c r="C399" s="2" t="n">
        <v>7</v>
      </c>
      <c r="D399" s="12" t="n">
        <v>46039.42013888889</v>
      </c>
      <c r="E399" s="8" t="n">
        <v>149</v>
      </c>
      <c r="F399" s="2" t="inlineStr">
        <is>
          <t>Wallet</t>
        </is>
      </c>
      <c r="G399" s="2" t="inlineStr">
        <is>
          <t>captured</t>
        </is>
      </c>
      <c r="H399" s="2" t="n">
        <v>23</v>
      </c>
      <c r="I399" s="2">
        <f>IFERROR(VLOOKUP(C399,Merchants!$A$2:$D$41,2,FALSE),"Merchant not found")</f>
        <v/>
      </c>
      <c r="J399" s="2">
        <f>IFERROR(VLOOKUP(C399,Merchants!$A$2:$D$41,3,FALSE),"Merchant not found")</f>
        <v/>
      </c>
      <c r="K399" s="2">
        <f>IFERROR(VLOOKUP(C399,Merchants!$A$2:$D$41,4,FALSE),"Merchant not found")</f>
        <v/>
      </c>
      <c r="L399" s="7">
        <f>DATE(YEAR(D399),MONTH(D399),DAY(D399))</f>
        <v/>
      </c>
      <c r="M399" s="5">
        <f>IFERROR(HLOOKUP(F399,Fee_Tiers!$B$1:$E$2,2,FALSE),"Fee tier not found")</f>
        <v/>
      </c>
      <c r="N399" s="8">
        <f>SUMIFS(Daily_Merchant!$C$2:$C$444,Daily_Merchant!$A$2:$A$444,C399,Daily_Merchant!$B$2:$B$444,L399)</f>
        <v/>
      </c>
      <c r="O399" s="2">
        <f>IF(AND(N399&gt;5000,K399&lt;&gt;"East"),"High-Value Merchant Day","")</f>
        <v/>
      </c>
    </row>
    <row r="400">
      <c r="A400" s="2" t="inlineStr">
        <is>
          <t>TXN100398</t>
        </is>
      </c>
      <c r="B400" s="2" t="n">
        <v>128</v>
      </c>
      <c r="C400" s="2" t="n">
        <v>1</v>
      </c>
      <c r="D400" s="12" t="n">
        <v>46027.63888888889</v>
      </c>
      <c r="E400" s="8" t="n">
        <v>1499</v>
      </c>
      <c r="F400" s="2" t="inlineStr">
        <is>
          <t>Netbanking</t>
        </is>
      </c>
      <c r="G400" s="2" t="inlineStr">
        <is>
          <t>captured</t>
        </is>
      </c>
      <c r="H400" s="2" t="n">
        <v>33</v>
      </c>
      <c r="I400" s="2">
        <f>IFERROR(VLOOKUP(C400,Merchants!$A$2:$D$41,2,FALSE),"Merchant not found")</f>
        <v/>
      </c>
      <c r="J400" s="2">
        <f>IFERROR(VLOOKUP(C400,Merchants!$A$2:$D$41,3,FALSE),"Merchant not found")</f>
        <v/>
      </c>
      <c r="K400" s="2">
        <f>IFERROR(VLOOKUP(C400,Merchants!$A$2:$D$41,4,FALSE),"Merchant not found")</f>
        <v/>
      </c>
      <c r="L400" s="7">
        <f>DATE(YEAR(D400),MONTH(D400),DAY(D400))</f>
        <v/>
      </c>
      <c r="M400" s="5">
        <f>IFERROR(HLOOKUP(F400,Fee_Tiers!$B$1:$E$2,2,FALSE),"Fee tier not found")</f>
        <v/>
      </c>
      <c r="N400" s="8">
        <f>SUMIFS(Daily_Merchant!$C$2:$C$444,Daily_Merchant!$A$2:$A$444,C400,Daily_Merchant!$B$2:$B$444,L400)</f>
        <v/>
      </c>
      <c r="O400" s="2">
        <f>IF(AND(N400&gt;5000,K400&lt;&gt;"East"),"High-Value Merchant Day","")</f>
        <v/>
      </c>
    </row>
    <row r="401">
      <c r="A401" s="2" t="inlineStr">
        <is>
          <t>TXN100399</t>
        </is>
      </c>
      <c r="B401" s="2" t="n">
        <v>137</v>
      </c>
      <c r="C401" s="2" t="n">
        <v>22</v>
      </c>
      <c r="D401" s="12" t="n">
        <v>46035.31111111111</v>
      </c>
      <c r="E401" s="8" t="n">
        <v>799</v>
      </c>
      <c r="F401" s="2" t="inlineStr">
        <is>
          <t>UPI</t>
        </is>
      </c>
      <c r="G401" s="2" t="inlineStr">
        <is>
          <t>failed</t>
        </is>
      </c>
      <c r="H401" s="2" t="n">
        <v>38</v>
      </c>
      <c r="I401" s="2">
        <f>IFERROR(VLOOKUP(C401,Merchants!$A$2:$D$41,2,FALSE),"Merchant not found")</f>
        <v/>
      </c>
      <c r="J401" s="2">
        <f>IFERROR(VLOOKUP(C401,Merchants!$A$2:$D$41,3,FALSE),"Merchant not found")</f>
        <v/>
      </c>
      <c r="K401" s="2">
        <f>IFERROR(VLOOKUP(C401,Merchants!$A$2:$D$41,4,FALSE),"Merchant not found")</f>
        <v/>
      </c>
      <c r="L401" s="7">
        <f>DATE(YEAR(D401),MONTH(D401),DAY(D401))</f>
        <v/>
      </c>
      <c r="M401" s="5">
        <f>IFERROR(HLOOKUP(F401,Fee_Tiers!$B$1:$E$2,2,FALSE),"Fee tier not found")</f>
        <v/>
      </c>
      <c r="N401" s="8">
        <f>SUMIFS(Daily_Merchant!$C$2:$C$444,Daily_Merchant!$A$2:$A$444,C401,Daily_Merchant!$B$2:$B$444,L401)</f>
        <v/>
      </c>
      <c r="O401" s="2">
        <f>IF(AND(N401&gt;5000,K401&lt;&gt;"East"),"High-Value Merchant Day","")</f>
        <v/>
      </c>
    </row>
    <row r="402">
      <c r="A402" s="2" t="inlineStr">
        <is>
          <t>TXN100400</t>
        </is>
      </c>
      <c r="B402" s="2" t="n">
        <v>6</v>
      </c>
      <c r="C402" s="2" t="n">
        <v>17</v>
      </c>
      <c r="D402" s="12" t="n">
        <v>46041.98333333333</v>
      </c>
      <c r="E402" s="8" t="n">
        <v>49</v>
      </c>
      <c r="F402" s="2" t="inlineStr">
        <is>
          <t>UPI</t>
        </is>
      </c>
      <c r="G402" s="2" t="inlineStr">
        <is>
          <t>captured</t>
        </is>
      </c>
      <c r="H402" s="2" t="n">
        <v>83</v>
      </c>
      <c r="I402" s="2">
        <f>IFERROR(VLOOKUP(C402,Merchants!$A$2:$D$41,2,FALSE),"Merchant not found")</f>
        <v/>
      </c>
      <c r="J402" s="2">
        <f>IFERROR(VLOOKUP(C402,Merchants!$A$2:$D$41,3,FALSE),"Merchant not found")</f>
        <v/>
      </c>
      <c r="K402" s="2">
        <f>IFERROR(VLOOKUP(C402,Merchants!$A$2:$D$41,4,FALSE),"Merchant not found")</f>
        <v/>
      </c>
      <c r="L402" s="7">
        <f>DATE(YEAR(D402),MONTH(D402),DAY(D402))</f>
        <v/>
      </c>
      <c r="M402" s="5">
        <f>IFERROR(HLOOKUP(F402,Fee_Tiers!$B$1:$E$2,2,FALSE),"Fee tier not found")</f>
        <v/>
      </c>
      <c r="N402" s="8">
        <f>SUMIFS(Daily_Merchant!$C$2:$C$444,Daily_Merchant!$A$2:$A$444,C402,Daily_Merchant!$B$2:$B$444,L402)</f>
        <v/>
      </c>
      <c r="O402" s="2">
        <f>IF(AND(N402&gt;5000,K402&lt;&gt;"East"),"High-Value Merchant Day","")</f>
        <v/>
      </c>
    </row>
    <row r="403">
      <c r="A403" s="2" t="inlineStr">
        <is>
          <t>TXN100401</t>
        </is>
      </c>
      <c r="B403" s="2" t="n">
        <v>32</v>
      </c>
      <c r="C403" s="2" t="n">
        <v>8</v>
      </c>
      <c r="D403" s="12" t="n">
        <v>46034.92708333334</v>
      </c>
      <c r="E403" s="8" t="n">
        <v>299</v>
      </c>
      <c r="F403" s="2" t="inlineStr">
        <is>
          <t>Card</t>
        </is>
      </c>
      <c r="G403" s="2" t="inlineStr">
        <is>
          <t>captured</t>
        </is>
      </c>
      <c r="H403" s="2" t="n">
        <v>59</v>
      </c>
      <c r="I403" s="2">
        <f>IFERROR(VLOOKUP(C403,Merchants!$A$2:$D$41,2,FALSE),"Merchant not found")</f>
        <v/>
      </c>
      <c r="J403" s="2">
        <f>IFERROR(VLOOKUP(C403,Merchants!$A$2:$D$41,3,FALSE),"Merchant not found")</f>
        <v/>
      </c>
      <c r="K403" s="2">
        <f>IFERROR(VLOOKUP(C403,Merchants!$A$2:$D$41,4,FALSE),"Merchant not found")</f>
        <v/>
      </c>
      <c r="L403" s="7">
        <f>DATE(YEAR(D403),MONTH(D403),DAY(D403))</f>
        <v/>
      </c>
      <c r="M403" s="5">
        <f>IFERROR(HLOOKUP(F403,Fee_Tiers!$B$1:$E$2,2,FALSE),"Fee tier not found")</f>
        <v/>
      </c>
      <c r="N403" s="8">
        <f>SUMIFS(Daily_Merchant!$C$2:$C$444,Daily_Merchant!$A$2:$A$444,C403,Daily_Merchant!$B$2:$B$444,L403)</f>
        <v/>
      </c>
      <c r="O403" s="2">
        <f>IF(AND(N403&gt;5000,K403&lt;&gt;"East"),"High-Value Merchant Day","")</f>
        <v/>
      </c>
    </row>
    <row r="404">
      <c r="A404" s="2" t="inlineStr">
        <is>
          <t>TXN100402</t>
        </is>
      </c>
      <c r="B404" s="2" t="n">
        <v>258</v>
      </c>
      <c r="C404" s="2" t="n">
        <v>20</v>
      </c>
      <c r="D404" s="12" t="n">
        <v>46032.22569444445</v>
      </c>
      <c r="E404" s="8" t="n">
        <v>149</v>
      </c>
      <c r="F404" s="2" t="inlineStr">
        <is>
          <t>UPI</t>
        </is>
      </c>
      <c r="G404" s="2" t="inlineStr">
        <is>
          <t>captured</t>
        </is>
      </c>
      <c r="H404" s="2" t="n">
        <v>88</v>
      </c>
      <c r="I404" s="2">
        <f>IFERROR(VLOOKUP(C404,Merchants!$A$2:$D$41,2,FALSE),"Merchant not found")</f>
        <v/>
      </c>
      <c r="J404" s="2">
        <f>IFERROR(VLOOKUP(C404,Merchants!$A$2:$D$41,3,FALSE),"Merchant not found")</f>
        <v/>
      </c>
      <c r="K404" s="2">
        <f>IFERROR(VLOOKUP(C404,Merchants!$A$2:$D$41,4,FALSE),"Merchant not found")</f>
        <v/>
      </c>
      <c r="L404" s="7">
        <f>DATE(YEAR(D404),MONTH(D404),DAY(D404))</f>
        <v/>
      </c>
      <c r="M404" s="5">
        <f>IFERROR(HLOOKUP(F404,Fee_Tiers!$B$1:$E$2,2,FALSE),"Fee tier not found")</f>
        <v/>
      </c>
      <c r="N404" s="8">
        <f>SUMIFS(Daily_Merchant!$C$2:$C$444,Daily_Merchant!$A$2:$A$444,C404,Daily_Merchant!$B$2:$B$444,L404)</f>
        <v/>
      </c>
      <c r="O404" s="2">
        <f>IF(AND(N404&gt;5000,K404&lt;&gt;"East"),"High-Value Merchant Day","")</f>
        <v/>
      </c>
    </row>
    <row r="405">
      <c r="A405" s="2" t="inlineStr">
        <is>
          <t>TXN100403</t>
        </is>
      </c>
      <c r="B405" s="2" t="n">
        <v>152</v>
      </c>
      <c r="C405" s="2" t="n">
        <v>24</v>
      </c>
      <c r="D405" s="12" t="n">
        <v>46026.87361111111</v>
      </c>
      <c r="E405" s="8" t="n">
        <v>149</v>
      </c>
      <c r="F405" s="2" t="inlineStr">
        <is>
          <t>UPI</t>
        </is>
      </c>
      <c r="G405" s="2" t="inlineStr">
        <is>
          <t>chargeback</t>
        </is>
      </c>
      <c r="H405" s="2" t="n">
        <v>78</v>
      </c>
      <c r="I405" s="2">
        <f>IFERROR(VLOOKUP(C405,Merchants!$A$2:$D$41,2,FALSE),"Merchant not found")</f>
        <v/>
      </c>
      <c r="J405" s="2">
        <f>IFERROR(VLOOKUP(C405,Merchants!$A$2:$D$41,3,FALSE),"Merchant not found")</f>
        <v/>
      </c>
      <c r="K405" s="2">
        <f>IFERROR(VLOOKUP(C405,Merchants!$A$2:$D$41,4,FALSE),"Merchant not found")</f>
        <v/>
      </c>
      <c r="L405" s="7">
        <f>DATE(YEAR(D405),MONTH(D405),DAY(D405))</f>
        <v/>
      </c>
      <c r="M405" s="5">
        <f>IFERROR(HLOOKUP(F405,Fee_Tiers!$B$1:$E$2,2,FALSE),"Fee tier not found")</f>
        <v/>
      </c>
      <c r="N405" s="8">
        <f>SUMIFS(Daily_Merchant!$C$2:$C$444,Daily_Merchant!$A$2:$A$444,C405,Daily_Merchant!$B$2:$B$444,L405)</f>
        <v/>
      </c>
      <c r="O405" s="2">
        <f>IF(AND(N405&gt;5000,K405&lt;&gt;"East"),"High-Value Merchant Day","")</f>
        <v/>
      </c>
    </row>
    <row r="406">
      <c r="A406" s="2" t="inlineStr">
        <is>
          <t>TXN100404</t>
        </is>
      </c>
      <c r="B406" s="2" t="n">
        <v>245</v>
      </c>
      <c r="C406" s="2" t="n">
        <v>10</v>
      </c>
      <c r="D406" s="12" t="n">
        <v>46030.29722222222</v>
      </c>
      <c r="E406" s="8" t="n">
        <v>799</v>
      </c>
      <c r="F406" s="2" t="inlineStr">
        <is>
          <t>Wallet</t>
        </is>
      </c>
      <c r="G406" s="2" t="inlineStr">
        <is>
          <t>captured</t>
        </is>
      </c>
      <c r="H406" s="2" t="n">
        <v>58</v>
      </c>
      <c r="I406" s="2">
        <f>IFERROR(VLOOKUP(C406,Merchants!$A$2:$D$41,2,FALSE),"Merchant not found")</f>
        <v/>
      </c>
      <c r="J406" s="2">
        <f>IFERROR(VLOOKUP(C406,Merchants!$A$2:$D$41,3,FALSE),"Merchant not found")</f>
        <v/>
      </c>
      <c r="K406" s="2">
        <f>IFERROR(VLOOKUP(C406,Merchants!$A$2:$D$41,4,FALSE),"Merchant not found")</f>
        <v/>
      </c>
      <c r="L406" s="7">
        <f>DATE(YEAR(D406),MONTH(D406),DAY(D406))</f>
        <v/>
      </c>
      <c r="M406" s="5">
        <f>IFERROR(HLOOKUP(F406,Fee_Tiers!$B$1:$E$2,2,FALSE),"Fee tier not found")</f>
        <v/>
      </c>
      <c r="N406" s="8">
        <f>SUMIFS(Daily_Merchant!$C$2:$C$444,Daily_Merchant!$A$2:$A$444,C406,Daily_Merchant!$B$2:$B$444,L406)</f>
        <v/>
      </c>
      <c r="O406" s="2">
        <f>IF(AND(N406&gt;5000,K406&lt;&gt;"East"),"High-Value Merchant Day","")</f>
        <v/>
      </c>
    </row>
    <row r="407">
      <c r="A407" s="2" t="inlineStr">
        <is>
          <t>TXN100405</t>
        </is>
      </c>
      <c r="B407" s="2" t="n">
        <v>213</v>
      </c>
      <c r="C407" s="2" t="n">
        <v>36</v>
      </c>
      <c r="D407" s="12" t="n">
        <v>46046.80763888889</v>
      </c>
      <c r="E407" s="8" t="n">
        <v>49</v>
      </c>
      <c r="F407" s="2" t="inlineStr">
        <is>
          <t>Wallet</t>
        </is>
      </c>
      <c r="G407" s="2" t="inlineStr">
        <is>
          <t>captured</t>
        </is>
      </c>
      <c r="H407" s="2" t="n">
        <v>60</v>
      </c>
      <c r="I407" s="2">
        <f>IFERROR(VLOOKUP(C407,Merchants!$A$2:$D$41,2,FALSE),"Merchant not found")</f>
        <v/>
      </c>
      <c r="J407" s="2">
        <f>IFERROR(VLOOKUP(C407,Merchants!$A$2:$D$41,3,FALSE),"Merchant not found")</f>
        <v/>
      </c>
      <c r="K407" s="2">
        <f>IFERROR(VLOOKUP(C407,Merchants!$A$2:$D$41,4,FALSE),"Merchant not found")</f>
        <v/>
      </c>
      <c r="L407" s="7">
        <f>DATE(YEAR(D407),MONTH(D407),DAY(D407))</f>
        <v/>
      </c>
      <c r="M407" s="5">
        <f>IFERROR(HLOOKUP(F407,Fee_Tiers!$B$1:$E$2,2,FALSE),"Fee tier not found")</f>
        <v/>
      </c>
      <c r="N407" s="8">
        <f>SUMIFS(Daily_Merchant!$C$2:$C$444,Daily_Merchant!$A$2:$A$444,C407,Daily_Merchant!$B$2:$B$444,L407)</f>
        <v/>
      </c>
      <c r="O407" s="2">
        <f>IF(AND(N407&gt;5000,K407&lt;&gt;"East"),"High-Value Merchant Day","")</f>
        <v/>
      </c>
    </row>
    <row r="408">
      <c r="A408" s="2" t="inlineStr">
        <is>
          <t>TXN100406</t>
        </is>
      </c>
      <c r="B408" s="2" t="n">
        <v>341</v>
      </c>
      <c r="C408" s="2" t="n">
        <v>14</v>
      </c>
      <c r="D408" s="12" t="n">
        <v>46047.74375</v>
      </c>
      <c r="E408" s="8" t="n">
        <v>99</v>
      </c>
      <c r="F408" s="2" t="inlineStr">
        <is>
          <t>Netbanking</t>
        </is>
      </c>
      <c r="G408" s="2" t="inlineStr">
        <is>
          <t>captured</t>
        </is>
      </c>
      <c r="H408" s="2" t="n">
        <v>97</v>
      </c>
      <c r="I408" s="2">
        <f>IFERROR(VLOOKUP(C408,Merchants!$A$2:$D$41,2,FALSE),"Merchant not found")</f>
        <v/>
      </c>
      <c r="J408" s="2">
        <f>IFERROR(VLOOKUP(C408,Merchants!$A$2:$D$41,3,FALSE),"Merchant not found")</f>
        <v/>
      </c>
      <c r="K408" s="2">
        <f>IFERROR(VLOOKUP(C408,Merchants!$A$2:$D$41,4,FALSE),"Merchant not found")</f>
        <v/>
      </c>
      <c r="L408" s="7">
        <f>DATE(YEAR(D408),MONTH(D408),DAY(D408))</f>
        <v/>
      </c>
      <c r="M408" s="5">
        <f>IFERROR(HLOOKUP(F408,Fee_Tiers!$B$1:$E$2,2,FALSE),"Fee tier not found")</f>
        <v/>
      </c>
      <c r="N408" s="8">
        <f>SUMIFS(Daily_Merchant!$C$2:$C$444,Daily_Merchant!$A$2:$A$444,C408,Daily_Merchant!$B$2:$B$444,L408)</f>
        <v/>
      </c>
      <c r="O408" s="2">
        <f>IF(AND(N408&gt;5000,K408&lt;&gt;"East"),"High-Value Merchant Day","")</f>
        <v/>
      </c>
    </row>
    <row r="409">
      <c r="A409" s="2" t="inlineStr">
        <is>
          <t>TXN100407</t>
        </is>
      </c>
      <c r="B409" s="2" t="n">
        <v>306</v>
      </c>
      <c r="C409" s="2" t="n">
        <v>6</v>
      </c>
      <c r="D409" s="12" t="n">
        <v>46030.90833333333</v>
      </c>
      <c r="E409" s="8" t="n">
        <v>149</v>
      </c>
      <c r="F409" s="2" t="inlineStr">
        <is>
          <t>Netbanking</t>
        </is>
      </c>
      <c r="G409" s="2" t="inlineStr">
        <is>
          <t>captured</t>
        </is>
      </c>
      <c r="H409" s="2" t="n">
        <v>67</v>
      </c>
      <c r="I409" s="2">
        <f>IFERROR(VLOOKUP(C409,Merchants!$A$2:$D$41,2,FALSE),"Merchant not found")</f>
        <v/>
      </c>
      <c r="J409" s="2">
        <f>IFERROR(VLOOKUP(C409,Merchants!$A$2:$D$41,3,FALSE),"Merchant not found")</f>
        <v/>
      </c>
      <c r="K409" s="2">
        <f>IFERROR(VLOOKUP(C409,Merchants!$A$2:$D$41,4,FALSE),"Merchant not found")</f>
        <v/>
      </c>
      <c r="L409" s="7">
        <f>DATE(YEAR(D409),MONTH(D409),DAY(D409))</f>
        <v/>
      </c>
      <c r="M409" s="5">
        <f>IFERROR(HLOOKUP(F409,Fee_Tiers!$B$1:$E$2,2,FALSE),"Fee tier not found")</f>
        <v/>
      </c>
      <c r="N409" s="8">
        <f>SUMIFS(Daily_Merchant!$C$2:$C$444,Daily_Merchant!$A$2:$A$444,C409,Daily_Merchant!$B$2:$B$444,L409)</f>
        <v/>
      </c>
      <c r="O409" s="2">
        <f>IF(AND(N409&gt;5000,K409&lt;&gt;"East"),"High-Value Merchant Day","")</f>
        <v/>
      </c>
    </row>
    <row r="410">
      <c r="A410" s="2" t="inlineStr">
        <is>
          <t>TXN100408</t>
        </is>
      </c>
      <c r="B410" s="2" t="n">
        <v>186</v>
      </c>
      <c r="C410" s="2" t="n">
        <v>5</v>
      </c>
      <c r="D410" s="12" t="n">
        <v>46037.69791666666</v>
      </c>
      <c r="E410" s="8" t="n">
        <v>499</v>
      </c>
      <c r="F410" s="2" t="inlineStr">
        <is>
          <t>UPI</t>
        </is>
      </c>
      <c r="G410" s="2" t="inlineStr">
        <is>
          <t>captured</t>
        </is>
      </c>
      <c r="H410" s="2" t="n">
        <v>72</v>
      </c>
      <c r="I410" s="2">
        <f>IFERROR(VLOOKUP(C410,Merchants!$A$2:$D$41,2,FALSE),"Merchant not found")</f>
        <v/>
      </c>
      <c r="J410" s="2">
        <f>IFERROR(VLOOKUP(C410,Merchants!$A$2:$D$41,3,FALSE),"Merchant not found")</f>
        <v/>
      </c>
      <c r="K410" s="2">
        <f>IFERROR(VLOOKUP(C410,Merchants!$A$2:$D$41,4,FALSE),"Merchant not found")</f>
        <v/>
      </c>
      <c r="L410" s="7">
        <f>DATE(YEAR(D410),MONTH(D410),DAY(D410))</f>
        <v/>
      </c>
      <c r="M410" s="5">
        <f>IFERROR(HLOOKUP(F410,Fee_Tiers!$B$1:$E$2,2,FALSE),"Fee tier not found")</f>
        <v/>
      </c>
      <c r="N410" s="8">
        <f>SUMIFS(Daily_Merchant!$C$2:$C$444,Daily_Merchant!$A$2:$A$444,C410,Daily_Merchant!$B$2:$B$444,L410)</f>
        <v/>
      </c>
      <c r="O410" s="2">
        <f>IF(AND(N410&gt;5000,K410&lt;&gt;"East"),"High-Value Merchant Day","")</f>
        <v/>
      </c>
    </row>
    <row r="411">
      <c r="A411" s="2" t="inlineStr">
        <is>
          <t>TXN100409</t>
        </is>
      </c>
      <c r="B411" s="2" t="n">
        <v>281</v>
      </c>
      <c r="C411" s="2" t="n">
        <v>33</v>
      </c>
      <c r="D411" s="12" t="n">
        <v>46026.07847222222</v>
      </c>
      <c r="E411" s="8" t="n">
        <v>4999</v>
      </c>
      <c r="F411" s="2" t="inlineStr">
        <is>
          <t>UPI</t>
        </is>
      </c>
      <c r="G411" s="2" t="inlineStr">
        <is>
          <t>captured</t>
        </is>
      </c>
      <c r="H411" s="2" t="n">
        <v>25</v>
      </c>
      <c r="I411" s="2">
        <f>IFERROR(VLOOKUP(C411,Merchants!$A$2:$D$41,2,FALSE),"Merchant not found")</f>
        <v/>
      </c>
      <c r="J411" s="2">
        <f>IFERROR(VLOOKUP(C411,Merchants!$A$2:$D$41,3,FALSE),"Merchant not found")</f>
        <v/>
      </c>
      <c r="K411" s="2">
        <f>IFERROR(VLOOKUP(C411,Merchants!$A$2:$D$41,4,FALSE),"Merchant not found")</f>
        <v/>
      </c>
      <c r="L411" s="7">
        <f>DATE(YEAR(D411),MONTH(D411),DAY(D411))</f>
        <v/>
      </c>
      <c r="M411" s="5">
        <f>IFERROR(HLOOKUP(F411,Fee_Tiers!$B$1:$E$2,2,FALSE),"Fee tier not found")</f>
        <v/>
      </c>
      <c r="N411" s="8">
        <f>SUMIFS(Daily_Merchant!$C$2:$C$444,Daily_Merchant!$A$2:$A$444,C411,Daily_Merchant!$B$2:$B$444,L411)</f>
        <v/>
      </c>
      <c r="O411" s="2">
        <f>IF(AND(N411&gt;5000,K411&lt;&gt;"East"),"High-Value Merchant Day","")</f>
        <v/>
      </c>
    </row>
    <row r="412">
      <c r="A412" s="2" t="inlineStr">
        <is>
          <t>TXN100410</t>
        </is>
      </c>
      <c r="B412" s="2" t="n">
        <v>85</v>
      </c>
      <c r="C412" s="2" t="n">
        <v>21</v>
      </c>
      <c r="D412" s="12" t="n">
        <v>46041.71458333333</v>
      </c>
      <c r="E412" s="8" t="n">
        <v>99</v>
      </c>
      <c r="F412" s="2" t="inlineStr">
        <is>
          <t>UPI</t>
        </is>
      </c>
      <c r="G412" s="2" t="inlineStr">
        <is>
          <t>captured</t>
        </is>
      </c>
      <c r="H412" s="2" t="n">
        <v>66</v>
      </c>
      <c r="I412" s="2">
        <f>IFERROR(VLOOKUP(C412,Merchants!$A$2:$D$41,2,FALSE),"Merchant not found")</f>
        <v/>
      </c>
      <c r="J412" s="2">
        <f>IFERROR(VLOOKUP(C412,Merchants!$A$2:$D$41,3,FALSE),"Merchant not found")</f>
        <v/>
      </c>
      <c r="K412" s="2">
        <f>IFERROR(VLOOKUP(C412,Merchants!$A$2:$D$41,4,FALSE),"Merchant not found")</f>
        <v/>
      </c>
      <c r="L412" s="7">
        <f>DATE(YEAR(D412),MONTH(D412),DAY(D412))</f>
        <v/>
      </c>
      <c r="M412" s="5">
        <f>IFERROR(HLOOKUP(F412,Fee_Tiers!$B$1:$E$2,2,FALSE),"Fee tier not found")</f>
        <v/>
      </c>
      <c r="N412" s="8">
        <f>SUMIFS(Daily_Merchant!$C$2:$C$444,Daily_Merchant!$A$2:$A$444,C412,Daily_Merchant!$B$2:$B$444,L412)</f>
        <v/>
      </c>
      <c r="O412" s="2">
        <f>IF(AND(N412&gt;5000,K412&lt;&gt;"East"),"High-Value Merchant Day","")</f>
        <v/>
      </c>
    </row>
    <row r="413">
      <c r="A413" s="2" t="inlineStr">
        <is>
          <t>TXN100411</t>
        </is>
      </c>
      <c r="B413" s="2" t="n">
        <v>106</v>
      </c>
      <c r="C413" s="2" t="n">
        <v>38</v>
      </c>
      <c r="D413" s="12" t="n">
        <v>46037.15486111111</v>
      </c>
      <c r="E413" s="8" t="n">
        <v>499</v>
      </c>
      <c r="F413" s="2" t="inlineStr">
        <is>
          <t>UPI</t>
        </is>
      </c>
      <c r="G413" s="2" t="inlineStr">
        <is>
          <t>captured</t>
        </is>
      </c>
      <c r="H413" s="2" t="n">
        <v>62</v>
      </c>
      <c r="I413" s="2">
        <f>IFERROR(VLOOKUP(C413,Merchants!$A$2:$D$41,2,FALSE),"Merchant not found")</f>
        <v/>
      </c>
      <c r="J413" s="2">
        <f>IFERROR(VLOOKUP(C413,Merchants!$A$2:$D$41,3,FALSE),"Merchant not found")</f>
        <v/>
      </c>
      <c r="K413" s="2">
        <f>IFERROR(VLOOKUP(C413,Merchants!$A$2:$D$41,4,FALSE),"Merchant not found")</f>
        <v/>
      </c>
      <c r="L413" s="7">
        <f>DATE(YEAR(D413),MONTH(D413),DAY(D413))</f>
        <v/>
      </c>
      <c r="M413" s="5">
        <f>IFERROR(HLOOKUP(F413,Fee_Tiers!$B$1:$E$2,2,FALSE),"Fee tier not found")</f>
        <v/>
      </c>
      <c r="N413" s="8">
        <f>SUMIFS(Daily_Merchant!$C$2:$C$444,Daily_Merchant!$A$2:$A$444,C413,Daily_Merchant!$B$2:$B$444,L413)</f>
        <v/>
      </c>
      <c r="O413" s="2">
        <f>IF(AND(N413&gt;5000,K413&lt;&gt;"East"),"High-Value Merchant Day","")</f>
        <v/>
      </c>
    </row>
    <row r="414">
      <c r="A414" s="2" t="inlineStr">
        <is>
          <t>TXN100412</t>
        </is>
      </c>
      <c r="B414" s="2" t="n">
        <v>29</v>
      </c>
      <c r="C414" s="2" t="n">
        <v>30</v>
      </c>
      <c r="D414" s="12" t="n">
        <v>46025.68611111111</v>
      </c>
      <c r="E414" s="8" t="n">
        <v>149</v>
      </c>
      <c r="F414" s="2" t="inlineStr">
        <is>
          <t>Netbanking</t>
        </is>
      </c>
      <c r="G414" s="2" t="inlineStr">
        <is>
          <t>captured</t>
        </is>
      </c>
      <c r="H414" s="2" t="n">
        <v>16</v>
      </c>
      <c r="I414" s="2">
        <f>IFERROR(VLOOKUP(C414,Merchants!$A$2:$D$41,2,FALSE),"Merchant not found")</f>
        <v/>
      </c>
      <c r="J414" s="2">
        <f>IFERROR(VLOOKUP(C414,Merchants!$A$2:$D$41,3,FALSE),"Merchant not found")</f>
        <v/>
      </c>
      <c r="K414" s="2">
        <f>IFERROR(VLOOKUP(C414,Merchants!$A$2:$D$41,4,FALSE),"Merchant not found")</f>
        <v/>
      </c>
      <c r="L414" s="7">
        <f>DATE(YEAR(D414),MONTH(D414),DAY(D414))</f>
        <v/>
      </c>
      <c r="M414" s="5">
        <f>IFERROR(HLOOKUP(F414,Fee_Tiers!$B$1:$E$2,2,FALSE),"Fee tier not found")</f>
        <v/>
      </c>
      <c r="N414" s="8">
        <f>SUMIFS(Daily_Merchant!$C$2:$C$444,Daily_Merchant!$A$2:$A$444,C414,Daily_Merchant!$B$2:$B$444,L414)</f>
        <v/>
      </c>
      <c r="O414" s="2">
        <f>IF(AND(N414&gt;5000,K414&lt;&gt;"East"),"High-Value Merchant Day","")</f>
        <v/>
      </c>
    </row>
    <row r="415">
      <c r="A415" s="2" t="inlineStr">
        <is>
          <t>TXN100413</t>
        </is>
      </c>
      <c r="B415" s="2" t="n">
        <v>289</v>
      </c>
      <c r="C415" s="2" t="n">
        <v>4</v>
      </c>
      <c r="D415" s="12" t="n">
        <v>46039.56180555555</v>
      </c>
      <c r="E415" s="8" t="n">
        <v>1499</v>
      </c>
      <c r="F415" s="2" t="inlineStr">
        <is>
          <t>Card</t>
        </is>
      </c>
      <c r="G415" s="2" t="inlineStr">
        <is>
          <t>captured</t>
        </is>
      </c>
      <c r="H415" s="2" t="n">
        <v>71</v>
      </c>
      <c r="I415" s="2">
        <f>IFERROR(VLOOKUP(C415,Merchants!$A$2:$D$41,2,FALSE),"Merchant not found")</f>
        <v/>
      </c>
      <c r="J415" s="2">
        <f>IFERROR(VLOOKUP(C415,Merchants!$A$2:$D$41,3,FALSE),"Merchant not found")</f>
        <v/>
      </c>
      <c r="K415" s="2">
        <f>IFERROR(VLOOKUP(C415,Merchants!$A$2:$D$41,4,FALSE),"Merchant not found")</f>
        <v/>
      </c>
      <c r="L415" s="7">
        <f>DATE(YEAR(D415),MONTH(D415),DAY(D415))</f>
        <v/>
      </c>
      <c r="M415" s="5">
        <f>IFERROR(HLOOKUP(F415,Fee_Tiers!$B$1:$E$2,2,FALSE),"Fee tier not found")</f>
        <v/>
      </c>
      <c r="N415" s="8">
        <f>SUMIFS(Daily_Merchant!$C$2:$C$444,Daily_Merchant!$A$2:$A$444,C415,Daily_Merchant!$B$2:$B$444,L415)</f>
        <v/>
      </c>
      <c r="O415" s="2">
        <f>IF(AND(N415&gt;5000,K415&lt;&gt;"East"),"High-Value Merchant Day","")</f>
        <v/>
      </c>
    </row>
    <row r="416">
      <c r="A416" s="2" t="inlineStr">
        <is>
          <t>TXN100414</t>
        </is>
      </c>
      <c r="B416" s="2" t="n">
        <v>158</v>
      </c>
      <c r="C416" s="2" t="n">
        <v>2</v>
      </c>
      <c r="D416" s="12" t="n">
        <v>46037.91041666667</v>
      </c>
      <c r="E416" s="8" t="n">
        <v>1499</v>
      </c>
      <c r="F416" s="2" t="inlineStr">
        <is>
          <t>Card</t>
        </is>
      </c>
      <c r="G416" s="2" t="inlineStr">
        <is>
          <t>captured</t>
        </is>
      </c>
      <c r="H416" s="2" t="n">
        <v>50</v>
      </c>
      <c r="I416" s="2">
        <f>IFERROR(VLOOKUP(C416,Merchants!$A$2:$D$41,2,FALSE),"Merchant not found")</f>
        <v/>
      </c>
      <c r="J416" s="2">
        <f>IFERROR(VLOOKUP(C416,Merchants!$A$2:$D$41,3,FALSE),"Merchant not found")</f>
        <v/>
      </c>
      <c r="K416" s="2">
        <f>IFERROR(VLOOKUP(C416,Merchants!$A$2:$D$41,4,FALSE),"Merchant not found")</f>
        <v/>
      </c>
      <c r="L416" s="7">
        <f>DATE(YEAR(D416),MONTH(D416),DAY(D416))</f>
        <v/>
      </c>
      <c r="M416" s="5">
        <f>IFERROR(HLOOKUP(F416,Fee_Tiers!$B$1:$E$2,2,FALSE),"Fee tier not found")</f>
        <v/>
      </c>
      <c r="N416" s="8">
        <f>SUMIFS(Daily_Merchant!$C$2:$C$444,Daily_Merchant!$A$2:$A$444,C416,Daily_Merchant!$B$2:$B$444,L416)</f>
        <v/>
      </c>
      <c r="O416" s="2">
        <f>IF(AND(N416&gt;5000,K416&lt;&gt;"East"),"High-Value Merchant Day","")</f>
        <v/>
      </c>
    </row>
    <row r="417">
      <c r="A417" s="2" t="inlineStr">
        <is>
          <t>TXN100415</t>
        </is>
      </c>
      <c r="B417" s="2" t="n">
        <v>112</v>
      </c>
      <c r="C417" s="2" t="n">
        <v>38</v>
      </c>
      <c r="D417" s="12" t="n">
        <v>46031.03263888889</v>
      </c>
      <c r="E417" s="8" t="n">
        <v>49</v>
      </c>
      <c r="F417" s="2" t="inlineStr">
        <is>
          <t>UPI</t>
        </is>
      </c>
      <c r="G417" s="2" t="inlineStr">
        <is>
          <t>captured</t>
        </is>
      </c>
      <c r="H417" s="2" t="n">
        <v>9</v>
      </c>
      <c r="I417" s="2">
        <f>IFERROR(VLOOKUP(C417,Merchants!$A$2:$D$41,2,FALSE),"Merchant not found")</f>
        <v/>
      </c>
      <c r="J417" s="2">
        <f>IFERROR(VLOOKUP(C417,Merchants!$A$2:$D$41,3,FALSE),"Merchant not found")</f>
        <v/>
      </c>
      <c r="K417" s="2">
        <f>IFERROR(VLOOKUP(C417,Merchants!$A$2:$D$41,4,FALSE),"Merchant not found")</f>
        <v/>
      </c>
      <c r="L417" s="7">
        <f>DATE(YEAR(D417),MONTH(D417),DAY(D417))</f>
        <v/>
      </c>
      <c r="M417" s="5">
        <f>IFERROR(HLOOKUP(F417,Fee_Tiers!$B$1:$E$2,2,FALSE),"Fee tier not found")</f>
        <v/>
      </c>
      <c r="N417" s="8">
        <f>SUMIFS(Daily_Merchant!$C$2:$C$444,Daily_Merchant!$A$2:$A$444,C417,Daily_Merchant!$B$2:$B$444,L417)</f>
        <v/>
      </c>
      <c r="O417" s="2">
        <f>IF(AND(N417&gt;5000,K417&lt;&gt;"East"),"High-Value Merchant Day","")</f>
        <v/>
      </c>
    </row>
    <row r="418">
      <c r="A418" s="2" t="inlineStr">
        <is>
          <t>TXN100416</t>
        </is>
      </c>
      <c r="B418" s="2" t="n">
        <v>33</v>
      </c>
      <c r="C418" s="2" t="n">
        <v>35</v>
      </c>
      <c r="D418" s="12" t="n">
        <v>46024.55694444444</v>
      </c>
      <c r="E418" s="8" t="n">
        <v>299</v>
      </c>
      <c r="F418" s="2" t="inlineStr">
        <is>
          <t>Card</t>
        </is>
      </c>
      <c r="G418" s="2" t="inlineStr">
        <is>
          <t>failed</t>
        </is>
      </c>
      <c r="H418" s="2" t="n">
        <v>7</v>
      </c>
      <c r="I418" s="2">
        <f>IFERROR(VLOOKUP(C418,Merchants!$A$2:$D$41,2,FALSE),"Merchant not found")</f>
        <v/>
      </c>
      <c r="J418" s="2">
        <f>IFERROR(VLOOKUP(C418,Merchants!$A$2:$D$41,3,FALSE),"Merchant not found")</f>
        <v/>
      </c>
      <c r="K418" s="2">
        <f>IFERROR(VLOOKUP(C418,Merchants!$A$2:$D$41,4,FALSE),"Merchant not found")</f>
        <v/>
      </c>
      <c r="L418" s="7">
        <f>DATE(YEAR(D418),MONTH(D418),DAY(D418))</f>
        <v/>
      </c>
      <c r="M418" s="5">
        <f>IFERROR(HLOOKUP(F418,Fee_Tiers!$B$1:$E$2,2,FALSE),"Fee tier not found")</f>
        <v/>
      </c>
      <c r="N418" s="8">
        <f>SUMIFS(Daily_Merchant!$C$2:$C$444,Daily_Merchant!$A$2:$A$444,C418,Daily_Merchant!$B$2:$B$444,L418)</f>
        <v/>
      </c>
      <c r="O418" s="2">
        <f>IF(AND(N418&gt;5000,K418&lt;&gt;"East"),"High-Value Merchant Day","")</f>
        <v/>
      </c>
    </row>
    <row r="419">
      <c r="A419" s="2" t="inlineStr">
        <is>
          <t>TXN100417</t>
        </is>
      </c>
      <c r="B419" s="2" t="n">
        <v>242</v>
      </c>
      <c r="C419" s="2" t="n">
        <v>3</v>
      </c>
      <c r="D419" s="12" t="n">
        <v>46052.12430555555</v>
      </c>
      <c r="E419" s="8" t="n">
        <v>49</v>
      </c>
      <c r="F419" s="2" t="inlineStr">
        <is>
          <t>UPI</t>
        </is>
      </c>
      <c r="G419" s="2" t="inlineStr">
        <is>
          <t>captured</t>
        </is>
      </c>
      <c r="H419" s="2" t="n">
        <v>36</v>
      </c>
      <c r="I419" s="2">
        <f>IFERROR(VLOOKUP(C419,Merchants!$A$2:$D$41,2,FALSE),"Merchant not found")</f>
        <v/>
      </c>
      <c r="J419" s="2">
        <f>IFERROR(VLOOKUP(C419,Merchants!$A$2:$D$41,3,FALSE),"Merchant not found")</f>
        <v/>
      </c>
      <c r="K419" s="2">
        <f>IFERROR(VLOOKUP(C419,Merchants!$A$2:$D$41,4,FALSE),"Merchant not found")</f>
        <v/>
      </c>
      <c r="L419" s="7">
        <f>DATE(YEAR(D419),MONTH(D419),DAY(D419))</f>
        <v/>
      </c>
      <c r="M419" s="5">
        <f>IFERROR(HLOOKUP(F419,Fee_Tiers!$B$1:$E$2,2,FALSE),"Fee tier not found")</f>
        <v/>
      </c>
      <c r="N419" s="8">
        <f>SUMIFS(Daily_Merchant!$C$2:$C$444,Daily_Merchant!$A$2:$A$444,C419,Daily_Merchant!$B$2:$B$444,L419)</f>
        <v/>
      </c>
      <c r="O419" s="2">
        <f>IF(AND(N419&gt;5000,K419&lt;&gt;"East"),"High-Value Merchant Day","")</f>
        <v/>
      </c>
    </row>
    <row r="420">
      <c r="A420" s="2" t="inlineStr">
        <is>
          <t>TXN100418</t>
        </is>
      </c>
      <c r="B420" s="2" t="n">
        <v>70</v>
      </c>
      <c r="C420" s="2" t="n">
        <v>27</v>
      </c>
      <c r="D420" s="12" t="n">
        <v>46036.24236111111</v>
      </c>
      <c r="E420" s="8" t="n">
        <v>149</v>
      </c>
      <c r="F420" s="2" t="inlineStr">
        <is>
          <t>UPI</t>
        </is>
      </c>
      <c r="G420" s="2" t="inlineStr">
        <is>
          <t>captured</t>
        </is>
      </c>
      <c r="H420" s="2" t="n">
        <v>47</v>
      </c>
      <c r="I420" s="2">
        <f>IFERROR(VLOOKUP(C420,Merchants!$A$2:$D$41,2,FALSE),"Merchant not found")</f>
        <v/>
      </c>
      <c r="J420" s="2">
        <f>IFERROR(VLOOKUP(C420,Merchants!$A$2:$D$41,3,FALSE),"Merchant not found")</f>
        <v/>
      </c>
      <c r="K420" s="2">
        <f>IFERROR(VLOOKUP(C420,Merchants!$A$2:$D$41,4,FALSE),"Merchant not found")</f>
        <v/>
      </c>
      <c r="L420" s="7">
        <f>DATE(YEAR(D420),MONTH(D420),DAY(D420))</f>
        <v/>
      </c>
      <c r="M420" s="5">
        <f>IFERROR(HLOOKUP(F420,Fee_Tiers!$B$1:$E$2,2,FALSE),"Fee tier not found")</f>
        <v/>
      </c>
      <c r="N420" s="8">
        <f>SUMIFS(Daily_Merchant!$C$2:$C$444,Daily_Merchant!$A$2:$A$444,C420,Daily_Merchant!$B$2:$B$444,L420)</f>
        <v/>
      </c>
      <c r="O420" s="2">
        <f>IF(AND(N420&gt;5000,K420&lt;&gt;"East"),"High-Value Merchant Day","")</f>
        <v/>
      </c>
    </row>
    <row r="421">
      <c r="A421" s="2" t="inlineStr">
        <is>
          <t>TXN100419</t>
        </is>
      </c>
      <c r="B421" s="2" t="n">
        <v>194</v>
      </c>
      <c r="C421" s="2" t="n">
        <v>25</v>
      </c>
      <c r="D421" s="12" t="n">
        <v>46051.51944444444</v>
      </c>
      <c r="E421" s="8" t="n">
        <v>49</v>
      </c>
      <c r="F421" s="2" t="inlineStr">
        <is>
          <t>Wallet</t>
        </is>
      </c>
      <c r="G421" s="2" t="inlineStr">
        <is>
          <t>captured</t>
        </is>
      </c>
      <c r="H421" s="2" t="n">
        <v>10</v>
      </c>
      <c r="I421" s="2">
        <f>IFERROR(VLOOKUP(C421,Merchants!$A$2:$D$41,2,FALSE),"Merchant not found")</f>
        <v/>
      </c>
      <c r="J421" s="2">
        <f>IFERROR(VLOOKUP(C421,Merchants!$A$2:$D$41,3,FALSE),"Merchant not found")</f>
        <v/>
      </c>
      <c r="K421" s="2">
        <f>IFERROR(VLOOKUP(C421,Merchants!$A$2:$D$41,4,FALSE),"Merchant not found")</f>
        <v/>
      </c>
      <c r="L421" s="7">
        <f>DATE(YEAR(D421),MONTH(D421),DAY(D421))</f>
        <v/>
      </c>
      <c r="M421" s="5">
        <f>IFERROR(HLOOKUP(F421,Fee_Tiers!$B$1:$E$2,2,FALSE),"Fee tier not found")</f>
        <v/>
      </c>
      <c r="N421" s="8">
        <f>SUMIFS(Daily_Merchant!$C$2:$C$444,Daily_Merchant!$A$2:$A$444,C421,Daily_Merchant!$B$2:$B$444,L421)</f>
        <v/>
      </c>
      <c r="O421" s="2">
        <f>IF(AND(N421&gt;5000,K421&lt;&gt;"East"),"High-Value Merchant Day","")</f>
        <v/>
      </c>
    </row>
    <row r="422">
      <c r="A422" s="2" t="inlineStr">
        <is>
          <t>TXN100420</t>
        </is>
      </c>
      <c r="B422" s="2" t="n">
        <v>277</v>
      </c>
      <c r="C422" s="2" t="n">
        <v>9</v>
      </c>
      <c r="D422" s="12" t="n">
        <v>46044.91319444445</v>
      </c>
      <c r="E422" s="8" t="n">
        <v>799</v>
      </c>
      <c r="F422" s="2" t="inlineStr">
        <is>
          <t>UPI</t>
        </is>
      </c>
      <c r="G422" s="2" t="inlineStr">
        <is>
          <t>captured</t>
        </is>
      </c>
      <c r="H422" s="2" t="n">
        <v>83</v>
      </c>
      <c r="I422" s="2">
        <f>IFERROR(VLOOKUP(C422,Merchants!$A$2:$D$41,2,FALSE),"Merchant not found")</f>
        <v/>
      </c>
      <c r="J422" s="2">
        <f>IFERROR(VLOOKUP(C422,Merchants!$A$2:$D$41,3,FALSE),"Merchant not found")</f>
        <v/>
      </c>
      <c r="K422" s="2">
        <f>IFERROR(VLOOKUP(C422,Merchants!$A$2:$D$41,4,FALSE),"Merchant not found")</f>
        <v/>
      </c>
      <c r="L422" s="7">
        <f>DATE(YEAR(D422),MONTH(D422),DAY(D422))</f>
        <v/>
      </c>
      <c r="M422" s="5">
        <f>IFERROR(HLOOKUP(F422,Fee_Tiers!$B$1:$E$2,2,FALSE),"Fee tier not found")</f>
        <v/>
      </c>
      <c r="N422" s="8">
        <f>SUMIFS(Daily_Merchant!$C$2:$C$444,Daily_Merchant!$A$2:$A$444,C422,Daily_Merchant!$B$2:$B$444,L422)</f>
        <v/>
      </c>
      <c r="O422" s="2">
        <f>IF(AND(N422&gt;5000,K422&lt;&gt;"East"),"High-Value Merchant Day","")</f>
        <v/>
      </c>
    </row>
    <row r="423">
      <c r="A423" s="2" t="inlineStr">
        <is>
          <t>TXN100421</t>
        </is>
      </c>
      <c r="B423" s="2" t="n">
        <v>92</v>
      </c>
      <c r="C423" s="2" t="n">
        <v>35</v>
      </c>
      <c r="D423" s="12" t="n">
        <v>46050.46319444444</v>
      </c>
      <c r="E423" s="8" t="n">
        <v>49</v>
      </c>
      <c r="F423" s="2" t="inlineStr">
        <is>
          <t>UPI</t>
        </is>
      </c>
      <c r="G423" s="2" t="inlineStr">
        <is>
          <t>captured</t>
        </is>
      </c>
      <c r="H423" s="2" t="n">
        <v>50</v>
      </c>
      <c r="I423" s="2">
        <f>IFERROR(VLOOKUP(C423,Merchants!$A$2:$D$41,2,FALSE),"Merchant not found")</f>
        <v/>
      </c>
      <c r="J423" s="2">
        <f>IFERROR(VLOOKUP(C423,Merchants!$A$2:$D$41,3,FALSE),"Merchant not found")</f>
        <v/>
      </c>
      <c r="K423" s="2">
        <f>IFERROR(VLOOKUP(C423,Merchants!$A$2:$D$41,4,FALSE),"Merchant not found")</f>
        <v/>
      </c>
      <c r="L423" s="7">
        <f>DATE(YEAR(D423),MONTH(D423),DAY(D423))</f>
        <v/>
      </c>
      <c r="M423" s="5">
        <f>IFERROR(HLOOKUP(F423,Fee_Tiers!$B$1:$E$2,2,FALSE),"Fee tier not found")</f>
        <v/>
      </c>
      <c r="N423" s="8">
        <f>SUMIFS(Daily_Merchant!$C$2:$C$444,Daily_Merchant!$A$2:$A$444,C423,Daily_Merchant!$B$2:$B$444,L423)</f>
        <v/>
      </c>
      <c r="O423" s="2">
        <f>IF(AND(N423&gt;5000,K423&lt;&gt;"East"),"High-Value Merchant Day","")</f>
        <v/>
      </c>
    </row>
    <row r="424">
      <c r="A424" s="2" t="inlineStr">
        <is>
          <t>TXN100422</t>
        </is>
      </c>
      <c r="B424" s="2" t="n">
        <v>115</v>
      </c>
      <c r="C424" s="2" t="n">
        <v>1</v>
      </c>
      <c r="D424" s="12" t="n">
        <v>46039.19861111111</v>
      </c>
      <c r="E424" s="8" t="n">
        <v>149</v>
      </c>
      <c r="F424" s="2" t="inlineStr">
        <is>
          <t>Wallet</t>
        </is>
      </c>
      <c r="G424" s="2" t="inlineStr">
        <is>
          <t>captured</t>
        </is>
      </c>
      <c r="H424" s="2" t="n">
        <v>96</v>
      </c>
      <c r="I424" s="2">
        <f>IFERROR(VLOOKUP(C424,Merchants!$A$2:$D$41,2,FALSE),"Merchant not found")</f>
        <v/>
      </c>
      <c r="J424" s="2">
        <f>IFERROR(VLOOKUP(C424,Merchants!$A$2:$D$41,3,FALSE),"Merchant not found")</f>
        <v/>
      </c>
      <c r="K424" s="2">
        <f>IFERROR(VLOOKUP(C424,Merchants!$A$2:$D$41,4,FALSE),"Merchant not found")</f>
        <v/>
      </c>
      <c r="L424" s="7">
        <f>DATE(YEAR(D424),MONTH(D424),DAY(D424))</f>
        <v/>
      </c>
      <c r="M424" s="5">
        <f>IFERROR(HLOOKUP(F424,Fee_Tiers!$B$1:$E$2,2,FALSE),"Fee tier not found")</f>
        <v/>
      </c>
      <c r="N424" s="8">
        <f>SUMIFS(Daily_Merchant!$C$2:$C$444,Daily_Merchant!$A$2:$A$444,C424,Daily_Merchant!$B$2:$B$444,L424)</f>
        <v/>
      </c>
      <c r="O424" s="2">
        <f>IF(AND(N424&gt;5000,K424&lt;&gt;"East"),"High-Value Merchant Day","")</f>
        <v/>
      </c>
    </row>
    <row r="425">
      <c r="A425" s="2" t="inlineStr">
        <is>
          <t>TXN100423</t>
        </is>
      </c>
      <c r="B425" s="2" t="n">
        <v>345</v>
      </c>
      <c r="C425" s="2" t="n">
        <v>35</v>
      </c>
      <c r="D425" s="12" t="n">
        <v>46023.39513888889</v>
      </c>
      <c r="E425" s="8" t="n">
        <v>499</v>
      </c>
      <c r="F425" s="2" t="inlineStr">
        <is>
          <t>Card</t>
        </is>
      </c>
      <c r="G425" s="2" t="inlineStr">
        <is>
          <t>captured</t>
        </is>
      </c>
      <c r="H425" s="2" t="n">
        <v>54</v>
      </c>
      <c r="I425" s="2">
        <f>IFERROR(VLOOKUP(C425,Merchants!$A$2:$D$41,2,FALSE),"Merchant not found")</f>
        <v/>
      </c>
      <c r="J425" s="2">
        <f>IFERROR(VLOOKUP(C425,Merchants!$A$2:$D$41,3,FALSE),"Merchant not found")</f>
        <v/>
      </c>
      <c r="K425" s="2">
        <f>IFERROR(VLOOKUP(C425,Merchants!$A$2:$D$41,4,FALSE),"Merchant not found")</f>
        <v/>
      </c>
      <c r="L425" s="7">
        <f>DATE(YEAR(D425),MONTH(D425),DAY(D425))</f>
        <v/>
      </c>
      <c r="M425" s="5">
        <f>IFERROR(HLOOKUP(F425,Fee_Tiers!$B$1:$E$2,2,FALSE),"Fee tier not found")</f>
        <v/>
      </c>
      <c r="N425" s="8">
        <f>SUMIFS(Daily_Merchant!$C$2:$C$444,Daily_Merchant!$A$2:$A$444,C425,Daily_Merchant!$B$2:$B$444,L425)</f>
        <v/>
      </c>
      <c r="O425" s="2">
        <f>IF(AND(N425&gt;5000,K425&lt;&gt;"East"),"High-Value Merchant Day","")</f>
        <v/>
      </c>
    </row>
    <row r="426">
      <c r="A426" s="2" t="inlineStr">
        <is>
          <t>TXN100424</t>
        </is>
      </c>
      <c r="B426" s="2" t="n">
        <v>118</v>
      </c>
      <c r="C426" s="2" t="n">
        <v>16</v>
      </c>
      <c r="D426" s="12" t="n">
        <v>46040.53611111111</v>
      </c>
      <c r="E426" s="8" t="n">
        <v>49</v>
      </c>
      <c r="F426" s="2" t="inlineStr">
        <is>
          <t>UPI</t>
        </is>
      </c>
      <c r="G426" s="2" t="inlineStr">
        <is>
          <t>captured</t>
        </is>
      </c>
      <c r="H426" s="2" t="n">
        <v>58</v>
      </c>
      <c r="I426" s="2">
        <f>IFERROR(VLOOKUP(C426,Merchants!$A$2:$D$41,2,FALSE),"Merchant not found")</f>
        <v/>
      </c>
      <c r="J426" s="2">
        <f>IFERROR(VLOOKUP(C426,Merchants!$A$2:$D$41,3,FALSE),"Merchant not found")</f>
        <v/>
      </c>
      <c r="K426" s="2">
        <f>IFERROR(VLOOKUP(C426,Merchants!$A$2:$D$41,4,FALSE),"Merchant not found")</f>
        <v/>
      </c>
      <c r="L426" s="7">
        <f>DATE(YEAR(D426),MONTH(D426),DAY(D426))</f>
        <v/>
      </c>
      <c r="M426" s="5">
        <f>IFERROR(HLOOKUP(F426,Fee_Tiers!$B$1:$E$2,2,FALSE),"Fee tier not found")</f>
        <v/>
      </c>
      <c r="N426" s="8">
        <f>SUMIFS(Daily_Merchant!$C$2:$C$444,Daily_Merchant!$A$2:$A$444,C426,Daily_Merchant!$B$2:$B$444,L426)</f>
        <v/>
      </c>
      <c r="O426" s="2">
        <f>IF(AND(N426&gt;5000,K426&lt;&gt;"East"),"High-Value Merchant Day","")</f>
        <v/>
      </c>
    </row>
    <row r="427">
      <c r="A427" s="2" t="inlineStr">
        <is>
          <t>TXN100425</t>
        </is>
      </c>
      <c r="B427" s="2" t="n">
        <v>97</v>
      </c>
      <c r="C427" s="2" t="n">
        <v>8</v>
      </c>
      <c r="D427" s="12" t="n">
        <v>46034.17847222222</v>
      </c>
      <c r="E427" s="8" t="n">
        <v>99</v>
      </c>
      <c r="F427" s="2" t="inlineStr">
        <is>
          <t>Netbanking</t>
        </is>
      </c>
      <c r="G427" s="2" t="inlineStr">
        <is>
          <t>captured</t>
        </is>
      </c>
      <c r="H427" s="2" t="n">
        <v>4</v>
      </c>
      <c r="I427" s="2">
        <f>IFERROR(VLOOKUP(C427,Merchants!$A$2:$D$41,2,FALSE),"Merchant not found")</f>
        <v/>
      </c>
      <c r="J427" s="2">
        <f>IFERROR(VLOOKUP(C427,Merchants!$A$2:$D$41,3,FALSE),"Merchant not found")</f>
        <v/>
      </c>
      <c r="K427" s="2">
        <f>IFERROR(VLOOKUP(C427,Merchants!$A$2:$D$41,4,FALSE),"Merchant not found")</f>
        <v/>
      </c>
      <c r="L427" s="7">
        <f>DATE(YEAR(D427),MONTH(D427),DAY(D427))</f>
        <v/>
      </c>
      <c r="M427" s="5">
        <f>IFERROR(HLOOKUP(F427,Fee_Tiers!$B$1:$E$2,2,FALSE),"Fee tier not found")</f>
        <v/>
      </c>
      <c r="N427" s="8">
        <f>SUMIFS(Daily_Merchant!$C$2:$C$444,Daily_Merchant!$A$2:$A$444,C427,Daily_Merchant!$B$2:$B$444,L427)</f>
        <v/>
      </c>
      <c r="O427" s="2">
        <f>IF(AND(N427&gt;5000,K427&lt;&gt;"East"),"High-Value Merchant Day","")</f>
        <v/>
      </c>
    </row>
    <row r="428">
      <c r="A428" s="2" t="inlineStr">
        <is>
          <t>TXN100426</t>
        </is>
      </c>
      <c r="B428" s="2" t="n">
        <v>315</v>
      </c>
      <c r="C428" s="2" t="n">
        <v>2</v>
      </c>
      <c r="D428" s="12" t="n">
        <v>46048.89305555556</v>
      </c>
      <c r="E428" s="8" t="n">
        <v>299</v>
      </c>
      <c r="F428" s="2" t="inlineStr">
        <is>
          <t>Wallet</t>
        </is>
      </c>
      <c r="G428" s="2" t="inlineStr">
        <is>
          <t>captured</t>
        </is>
      </c>
      <c r="H428" s="2" t="n">
        <v>30</v>
      </c>
      <c r="I428" s="2">
        <f>IFERROR(VLOOKUP(C428,Merchants!$A$2:$D$41,2,FALSE),"Merchant not found")</f>
        <v/>
      </c>
      <c r="J428" s="2">
        <f>IFERROR(VLOOKUP(C428,Merchants!$A$2:$D$41,3,FALSE),"Merchant not found")</f>
        <v/>
      </c>
      <c r="K428" s="2">
        <f>IFERROR(VLOOKUP(C428,Merchants!$A$2:$D$41,4,FALSE),"Merchant not found")</f>
        <v/>
      </c>
      <c r="L428" s="7">
        <f>DATE(YEAR(D428),MONTH(D428),DAY(D428))</f>
        <v/>
      </c>
      <c r="M428" s="5">
        <f>IFERROR(HLOOKUP(F428,Fee_Tiers!$B$1:$E$2,2,FALSE),"Fee tier not found")</f>
        <v/>
      </c>
      <c r="N428" s="8">
        <f>SUMIFS(Daily_Merchant!$C$2:$C$444,Daily_Merchant!$A$2:$A$444,C428,Daily_Merchant!$B$2:$B$444,L428)</f>
        <v/>
      </c>
      <c r="O428" s="2">
        <f>IF(AND(N428&gt;5000,K428&lt;&gt;"East"),"High-Value Merchant Day","")</f>
        <v/>
      </c>
    </row>
    <row r="429">
      <c r="A429" s="2" t="inlineStr">
        <is>
          <t>TXN100427</t>
        </is>
      </c>
      <c r="B429" s="2" t="n">
        <v>305</v>
      </c>
      <c r="C429" s="2" t="n">
        <v>3</v>
      </c>
      <c r="D429" s="12" t="n">
        <v>46029.0875</v>
      </c>
      <c r="E429" s="8" t="n">
        <v>299</v>
      </c>
      <c r="F429" s="2" t="inlineStr">
        <is>
          <t>UPI</t>
        </is>
      </c>
      <c r="G429" s="2" t="inlineStr">
        <is>
          <t>captured</t>
        </is>
      </c>
      <c r="H429" s="2" t="n">
        <v>57</v>
      </c>
      <c r="I429" s="2">
        <f>IFERROR(VLOOKUP(C429,Merchants!$A$2:$D$41,2,FALSE),"Merchant not found")</f>
        <v/>
      </c>
      <c r="J429" s="2">
        <f>IFERROR(VLOOKUP(C429,Merchants!$A$2:$D$41,3,FALSE),"Merchant not found")</f>
        <v/>
      </c>
      <c r="K429" s="2">
        <f>IFERROR(VLOOKUP(C429,Merchants!$A$2:$D$41,4,FALSE),"Merchant not found")</f>
        <v/>
      </c>
      <c r="L429" s="7">
        <f>DATE(YEAR(D429),MONTH(D429),DAY(D429))</f>
        <v/>
      </c>
      <c r="M429" s="5">
        <f>IFERROR(HLOOKUP(F429,Fee_Tiers!$B$1:$E$2,2,FALSE),"Fee tier not found")</f>
        <v/>
      </c>
      <c r="N429" s="8">
        <f>SUMIFS(Daily_Merchant!$C$2:$C$444,Daily_Merchant!$A$2:$A$444,C429,Daily_Merchant!$B$2:$B$444,L429)</f>
        <v/>
      </c>
      <c r="O429" s="2">
        <f>IF(AND(N429&gt;5000,K429&lt;&gt;"East"),"High-Value Merchant Day","")</f>
        <v/>
      </c>
    </row>
    <row r="430">
      <c r="A430" s="2" t="inlineStr">
        <is>
          <t>TXN100428</t>
        </is>
      </c>
      <c r="B430" s="2" t="n">
        <v>25</v>
      </c>
      <c r="C430" s="2" t="n">
        <v>16</v>
      </c>
      <c r="D430" s="12" t="n">
        <v>46042.90625</v>
      </c>
      <c r="E430" s="8" t="n">
        <v>299</v>
      </c>
      <c r="F430" s="2" t="inlineStr">
        <is>
          <t>UPI</t>
        </is>
      </c>
      <c r="G430" s="2" t="inlineStr">
        <is>
          <t>captured</t>
        </is>
      </c>
      <c r="H430" s="2" t="n">
        <v>94</v>
      </c>
      <c r="I430" s="2">
        <f>IFERROR(VLOOKUP(C430,Merchants!$A$2:$D$41,2,FALSE),"Merchant not found")</f>
        <v/>
      </c>
      <c r="J430" s="2">
        <f>IFERROR(VLOOKUP(C430,Merchants!$A$2:$D$41,3,FALSE),"Merchant not found")</f>
        <v/>
      </c>
      <c r="K430" s="2">
        <f>IFERROR(VLOOKUP(C430,Merchants!$A$2:$D$41,4,FALSE),"Merchant not found")</f>
        <v/>
      </c>
      <c r="L430" s="7">
        <f>DATE(YEAR(D430),MONTH(D430),DAY(D430))</f>
        <v/>
      </c>
      <c r="M430" s="5">
        <f>IFERROR(HLOOKUP(F430,Fee_Tiers!$B$1:$E$2,2,FALSE),"Fee tier not found")</f>
        <v/>
      </c>
      <c r="N430" s="8">
        <f>SUMIFS(Daily_Merchant!$C$2:$C$444,Daily_Merchant!$A$2:$A$444,C430,Daily_Merchant!$B$2:$B$444,L430)</f>
        <v/>
      </c>
      <c r="O430" s="2">
        <f>IF(AND(N430&gt;5000,K430&lt;&gt;"East"),"High-Value Merchant Day","")</f>
        <v/>
      </c>
    </row>
    <row r="431">
      <c r="A431" s="2" t="inlineStr">
        <is>
          <t>TXN100429</t>
        </is>
      </c>
      <c r="B431" s="2" t="n">
        <v>120</v>
      </c>
      <c r="C431" s="2" t="n">
        <v>35</v>
      </c>
      <c r="D431" s="12" t="n">
        <v>46024.51944444444</v>
      </c>
      <c r="E431" s="8" t="n">
        <v>49</v>
      </c>
      <c r="F431" s="2" t="inlineStr">
        <is>
          <t>UPI</t>
        </is>
      </c>
      <c r="G431" s="2" t="inlineStr">
        <is>
          <t>captured</t>
        </is>
      </c>
      <c r="H431" s="2" t="n">
        <v>27</v>
      </c>
      <c r="I431" s="2">
        <f>IFERROR(VLOOKUP(C431,Merchants!$A$2:$D$41,2,FALSE),"Merchant not found")</f>
        <v/>
      </c>
      <c r="J431" s="2">
        <f>IFERROR(VLOOKUP(C431,Merchants!$A$2:$D$41,3,FALSE),"Merchant not found")</f>
        <v/>
      </c>
      <c r="K431" s="2">
        <f>IFERROR(VLOOKUP(C431,Merchants!$A$2:$D$41,4,FALSE),"Merchant not found")</f>
        <v/>
      </c>
      <c r="L431" s="7">
        <f>DATE(YEAR(D431),MONTH(D431),DAY(D431))</f>
        <v/>
      </c>
      <c r="M431" s="5">
        <f>IFERROR(HLOOKUP(F431,Fee_Tiers!$B$1:$E$2,2,FALSE),"Fee tier not found")</f>
        <v/>
      </c>
      <c r="N431" s="8">
        <f>SUMIFS(Daily_Merchant!$C$2:$C$444,Daily_Merchant!$A$2:$A$444,C431,Daily_Merchant!$B$2:$B$444,L431)</f>
        <v/>
      </c>
      <c r="O431" s="2">
        <f>IF(AND(N431&gt;5000,K431&lt;&gt;"East"),"High-Value Merchant Day","")</f>
        <v/>
      </c>
    </row>
    <row r="432">
      <c r="A432" s="2" t="inlineStr">
        <is>
          <t>TXN100430</t>
        </is>
      </c>
      <c r="B432" s="2" t="n">
        <v>258</v>
      </c>
      <c r="C432" s="2" t="n">
        <v>19</v>
      </c>
      <c r="D432" s="12" t="n">
        <v>46047.04722222222</v>
      </c>
      <c r="E432" s="8" t="n">
        <v>49</v>
      </c>
      <c r="F432" s="2" t="inlineStr">
        <is>
          <t>Wallet</t>
        </is>
      </c>
      <c r="G432" s="2" t="inlineStr">
        <is>
          <t>captured</t>
        </is>
      </c>
      <c r="H432" s="2" t="n">
        <v>29</v>
      </c>
      <c r="I432" s="2">
        <f>IFERROR(VLOOKUP(C432,Merchants!$A$2:$D$41,2,FALSE),"Merchant not found")</f>
        <v/>
      </c>
      <c r="J432" s="2">
        <f>IFERROR(VLOOKUP(C432,Merchants!$A$2:$D$41,3,FALSE),"Merchant not found")</f>
        <v/>
      </c>
      <c r="K432" s="2">
        <f>IFERROR(VLOOKUP(C432,Merchants!$A$2:$D$41,4,FALSE),"Merchant not found")</f>
        <v/>
      </c>
      <c r="L432" s="7">
        <f>DATE(YEAR(D432),MONTH(D432),DAY(D432))</f>
        <v/>
      </c>
      <c r="M432" s="5">
        <f>IFERROR(HLOOKUP(F432,Fee_Tiers!$B$1:$E$2,2,FALSE),"Fee tier not found")</f>
        <v/>
      </c>
      <c r="N432" s="8">
        <f>SUMIFS(Daily_Merchant!$C$2:$C$444,Daily_Merchant!$A$2:$A$444,C432,Daily_Merchant!$B$2:$B$444,L432)</f>
        <v/>
      </c>
      <c r="O432" s="2">
        <f>IF(AND(N432&gt;5000,K432&lt;&gt;"East"),"High-Value Merchant Day","")</f>
        <v/>
      </c>
    </row>
    <row r="433">
      <c r="A433" s="2" t="inlineStr">
        <is>
          <t>TXN100431</t>
        </is>
      </c>
      <c r="B433" s="2" t="n">
        <v>164</v>
      </c>
      <c r="C433" s="2" t="n">
        <v>37</v>
      </c>
      <c r="D433" s="12" t="n">
        <v>46049.98333333333</v>
      </c>
      <c r="E433" s="8" t="n">
        <v>799</v>
      </c>
      <c r="F433" s="2" t="inlineStr">
        <is>
          <t>UPI</t>
        </is>
      </c>
      <c r="G433" s="2" t="inlineStr">
        <is>
          <t>captured</t>
        </is>
      </c>
      <c r="H433" s="2" t="n">
        <v>76</v>
      </c>
      <c r="I433" s="2">
        <f>IFERROR(VLOOKUP(C433,Merchants!$A$2:$D$41,2,FALSE),"Merchant not found")</f>
        <v/>
      </c>
      <c r="J433" s="2">
        <f>IFERROR(VLOOKUP(C433,Merchants!$A$2:$D$41,3,FALSE),"Merchant not found")</f>
        <v/>
      </c>
      <c r="K433" s="2">
        <f>IFERROR(VLOOKUP(C433,Merchants!$A$2:$D$41,4,FALSE),"Merchant not found")</f>
        <v/>
      </c>
      <c r="L433" s="7">
        <f>DATE(YEAR(D433),MONTH(D433),DAY(D433))</f>
        <v/>
      </c>
      <c r="M433" s="5">
        <f>IFERROR(HLOOKUP(F433,Fee_Tiers!$B$1:$E$2,2,FALSE),"Fee tier not found")</f>
        <v/>
      </c>
      <c r="N433" s="8">
        <f>SUMIFS(Daily_Merchant!$C$2:$C$444,Daily_Merchant!$A$2:$A$444,C433,Daily_Merchant!$B$2:$B$444,L433)</f>
        <v/>
      </c>
      <c r="O433" s="2">
        <f>IF(AND(N433&gt;5000,K433&lt;&gt;"East"),"High-Value Merchant Day","")</f>
        <v/>
      </c>
    </row>
    <row r="434">
      <c r="A434" s="2" t="inlineStr">
        <is>
          <t>TXN100432</t>
        </is>
      </c>
      <c r="B434" s="2" t="n">
        <v>165</v>
      </c>
      <c r="C434" s="2" t="n">
        <v>16</v>
      </c>
      <c r="D434" s="12" t="n">
        <v>46047.91111111111</v>
      </c>
      <c r="E434" s="8" t="n">
        <v>49</v>
      </c>
      <c r="F434" s="2" t="inlineStr">
        <is>
          <t>Wallet</t>
        </is>
      </c>
      <c r="G434" s="2" t="inlineStr">
        <is>
          <t>captured</t>
        </is>
      </c>
      <c r="H434" s="2" t="n">
        <v>38</v>
      </c>
      <c r="I434" s="2">
        <f>IFERROR(VLOOKUP(C434,Merchants!$A$2:$D$41,2,FALSE),"Merchant not found")</f>
        <v/>
      </c>
      <c r="J434" s="2">
        <f>IFERROR(VLOOKUP(C434,Merchants!$A$2:$D$41,3,FALSE),"Merchant not found")</f>
        <v/>
      </c>
      <c r="K434" s="2">
        <f>IFERROR(VLOOKUP(C434,Merchants!$A$2:$D$41,4,FALSE),"Merchant not found")</f>
        <v/>
      </c>
      <c r="L434" s="7">
        <f>DATE(YEAR(D434),MONTH(D434),DAY(D434))</f>
        <v/>
      </c>
      <c r="M434" s="5">
        <f>IFERROR(HLOOKUP(F434,Fee_Tiers!$B$1:$E$2,2,FALSE),"Fee tier not found")</f>
        <v/>
      </c>
      <c r="N434" s="8">
        <f>SUMIFS(Daily_Merchant!$C$2:$C$444,Daily_Merchant!$A$2:$A$444,C434,Daily_Merchant!$B$2:$B$444,L434)</f>
        <v/>
      </c>
      <c r="O434" s="2">
        <f>IF(AND(N434&gt;5000,K434&lt;&gt;"East"),"High-Value Merchant Day","")</f>
        <v/>
      </c>
    </row>
    <row r="435">
      <c r="A435" s="2" t="inlineStr">
        <is>
          <t>TXN100433</t>
        </is>
      </c>
      <c r="B435" s="2" t="n">
        <v>267</v>
      </c>
      <c r="C435" s="2" t="n">
        <v>15</v>
      </c>
      <c r="D435" s="12" t="n">
        <v>46051.19583333333</v>
      </c>
      <c r="E435" s="8" t="n">
        <v>49</v>
      </c>
      <c r="F435" s="2" t="inlineStr">
        <is>
          <t>Netbanking</t>
        </is>
      </c>
      <c r="G435" s="2" t="inlineStr">
        <is>
          <t>captured</t>
        </is>
      </c>
      <c r="H435" s="2" t="n">
        <v>52</v>
      </c>
      <c r="I435" s="2">
        <f>IFERROR(VLOOKUP(C435,Merchants!$A$2:$D$41,2,FALSE),"Merchant not found")</f>
        <v/>
      </c>
      <c r="J435" s="2">
        <f>IFERROR(VLOOKUP(C435,Merchants!$A$2:$D$41,3,FALSE),"Merchant not found")</f>
        <v/>
      </c>
      <c r="K435" s="2">
        <f>IFERROR(VLOOKUP(C435,Merchants!$A$2:$D$41,4,FALSE),"Merchant not found")</f>
        <v/>
      </c>
      <c r="L435" s="7">
        <f>DATE(YEAR(D435),MONTH(D435),DAY(D435))</f>
        <v/>
      </c>
      <c r="M435" s="5">
        <f>IFERROR(HLOOKUP(F435,Fee_Tiers!$B$1:$E$2,2,FALSE),"Fee tier not found")</f>
        <v/>
      </c>
      <c r="N435" s="8">
        <f>SUMIFS(Daily_Merchant!$C$2:$C$444,Daily_Merchant!$A$2:$A$444,C435,Daily_Merchant!$B$2:$B$444,L435)</f>
        <v/>
      </c>
      <c r="O435" s="2">
        <f>IF(AND(N435&gt;5000,K435&lt;&gt;"East"),"High-Value Merchant Day","")</f>
        <v/>
      </c>
    </row>
    <row r="436">
      <c r="A436" s="2" t="inlineStr">
        <is>
          <t>TXN100434</t>
        </is>
      </c>
      <c r="B436" s="2" t="n">
        <v>286</v>
      </c>
      <c r="C436" s="2" t="n">
        <v>38</v>
      </c>
      <c r="D436" s="12" t="n">
        <v>46032.33541666667</v>
      </c>
      <c r="E436" s="8" t="n">
        <v>299</v>
      </c>
      <c r="F436" s="2" t="inlineStr">
        <is>
          <t>Wallet</t>
        </is>
      </c>
      <c r="G436" s="2" t="inlineStr">
        <is>
          <t>captured</t>
        </is>
      </c>
      <c r="H436" s="2" t="n">
        <v>94</v>
      </c>
      <c r="I436" s="2">
        <f>IFERROR(VLOOKUP(C436,Merchants!$A$2:$D$41,2,FALSE),"Merchant not found")</f>
        <v/>
      </c>
      <c r="J436" s="2">
        <f>IFERROR(VLOOKUP(C436,Merchants!$A$2:$D$41,3,FALSE),"Merchant not found")</f>
        <v/>
      </c>
      <c r="K436" s="2">
        <f>IFERROR(VLOOKUP(C436,Merchants!$A$2:$D$41,4,FALSE),"Merchant not found")</f>
        <v/>
      </c>
      <c r="L436" s="7">
        <f>DATE(YEAR(D436),MONTH(D436),DAY(D436))</f>
        <v/>
      </c>
      <c r="M436" s="5">
        <f>IFERROR(HLOOKUP(F436,Fee_Tiers!$B$1:$E$2,2,FALSE),"Fee tier not found")</f>
        <v/>
      </c>
      <c r="N436" s="8">
        <f>SUMIFS(Daily_Merchant!$C$2:$C$444,Daily_Merchant!$A$2:$A$444,C436,Daily_Merchant!$B$2:$B$444,L436)</f>
        <v/>
      </c>
      <c r="O436" s="2">
        <f>IF(AND(N436&gt;5000,K436&lt;&gt;"East"),"High-Value Merchant Day","")</f>
        <v/>
      </c>
    </row>
    <row r="437">
      <c r="A437" s="2" t="inlineStr">
        <is>
          <t>TXN100435</t>
        </is>
      </c>
      <c r="B437" s="2" t="n">
        <v>348</v>
      </c>
      <c r="C437" s="2" t="n">
        <v>28</v>
      </c>
      <c r="D437" s="12" t="n">
        <v>46052.23611111111</v>
      </c>
      <c r="E437" s="8" t="n">
        <v>499</v>
      </c>
      <c r="F437" s="2" t="inlineStr">
        <is>
          <t>Card</t>
        </is>
      </c>
      <c r="G437" s="2" t="inlineStr">
        <is>
          <t>captured</t>
        </is>
      </c>
      <c r="H437" s="2" t="n">
        <v>71</v>
      </c>
      <c r="I437" s="2">
        <f>IFERROR(VLOOKUP(C437,Merchants!$A$2:$D$41,2,FALSE),"Merchant not found")</f>
        <v/>
      </c>
      <c r="J437" s="2">
        <f>IFERROR(VLOOKUP(C437,Merchants!$A$2:$D$41,3,FALSE),"Merchant not found")</f>
        <v/>
      </c>
      <c r="K437" s="2">
        <f>IFERROR(VLOOKUP(C437,Merchants!$A$2:$D$41,4,FALSE),"Merchant not found")</f>
        <v/>
      </c>
      <c r="L437" s="7">
        <f>DATE(YEAR(D437),MONTH(D437),DAY(D437))</f>
        <v/>
      </c>
      <c r="M437" s="5">
        <f>IFERROR(HLOOKUP(F437,Fee_Tiers!$B$1:$E$2,2,FALSE),"Fee tier not found")</f>
        <v/>
      </c>
      <c r="N437" s="8">
        <f>SUMIFS(Daily_Merchant!$C$2:$C$444,Daily_Merchant!$A$2:$A$444,C437,Daily_Merchant!$B$2:$B$444,L437)</f>
        <v/>
      </c>
      <c r="O437" s="2">
        <f>IF(AND(N437&gt;5000,K437&lt;&gt;"East"),"High-Value Merchant Day","")</f>
        <v/>
      </c>
    </row>
    <row r="438">
      <c r="A438" s="2" t="inlineStr">
        <is>
          <t>TXN100436</t>
        </is>
      </c>
      <c r="B438" s="2" t="n">
        <v>330</v>
      </c>
      <c r="C438" s="2" t="n">
        <v>25</v>
      </c>
      <c r="D438" s="12" t="n">
        <v>46038.05694444444</v>
      </c>
      <c r="E438" s="8" t="n">
        <v>799</v>
      </c>
      <c r="F438" s="2" t="inlineStr">
        <is>
          <t>UPI</t>
        </is>
      </c>
      <c r="G438" s="2" t="inlineStr">
        <is>
          <t>captured</t>
        </is>
      </c>
      <c r="H438" s="2" t="n">
        <v>100</v>
      </c>
      <c r="I438" s="2">
        <f>IFERROR(VLOOKUP(C438,Merchants!$A$2:$D$41,2,FALSE),"Merchant not found")</f>
        <v/>
      </c>
      <c r="J438" s="2">
        <f>IFERROR(VLOOKUP(C438,Merchants!$A$2:$D$41,3,FALSE),"Merchant not found")</f>
        <v/>
      </c>
      <c r="K438" s="2">
        <f>IFERROR(VLOOKUP(C438,Merchants!$A$2:$D$41,4,FALSE),"Merchant not found")</f>
        <v/>
      </c>
      <c r="L438" s="7">
        <f>DATE(YEAR(D438),MONTH(D438),DAY(D438))</f>
        <v/>
      </c>
      <c r="M438" s="5">
        <f>IFERROR(HLOOKUP(F438,Fee_Tiers!$B$1:$E$2,2,FALSE),"Fee tier not found")</f>
        <v/>
      </c>
      <c r="N438" s="8">
        <f>SUMIFS(Daily_Merchant!$C$2:$C$444,Daily_Merchant!$A$2:$A$444,C438,Daily_Merchant!$B$2:$B$444,L438)</f>
        <v/>
      </c>
      <c r="O438" s="2">
        <f>IF(AND(N438&gt;5000,K438&lt;&gt;"East"),"High-Value Merchant Day","")</f>
        <v/>
      </c>
    </row>
    <row r="439">
      <c r="A439" s="2" t="inlineStr">
        <is>
          <t>TXN100437</t>
        </is>
      </c>
      <c r="B439" s="2" t="n">
        <v>214</v>
      </c>
      <c r="C439" s="2" t="n">
        <v>27</v>
      </c>
      <c r="D439" s="12" t="n">
        <v>46039.44722222222</v>
      </c>
      <c r="E439" s="8" t="n">
        <v>299</v>
      </c>
      <c r="F439" s="2" t="inlineStr">
        <is>
          <t>Card</t>
        </is>
      </c>
      <c r="G439" s="2" t="inlineStr">
        <is>
          <t>captured</t>
        </is>
      </c>
      <c r="H439" s="2" t="n">
        <v>19</v>
      </c>
      <c r="I439" s="2">
        <f>IFERROR(VLOOKUP(C439,Merchants!$A$2:$D$41,2,FALSE),"Merchant not found")</f>
        <v/>
      </c>
      <c r="J439" s="2">
        <f>IFERROR(VLOOKUP(C439,Merchants!$A$2:$D$41,3,FALSE),"Merchant not found")</f>
        <v/>
      </c>
      <c r="K439" s="2">
        <f>IFERROR(VLOOKUP(C439,Merchants!$A$2:$D$41,4,FALSE),"Merchant not found")</f>
        <v/>
      </c>
      <c r="L439" s="7">
        <f>DATE(YEAR(D439),MONTH(D439),DAY(D439))</f>
        <v/>
      </c>
      <c r="M439" s="5">
        <f>IFERROR(HLOOKUP(F439,Fee_Tiers!$B$1:$E$2,2,FALSE),"Fee tier not found")</f>
        <v/>
      </c>
      <c r="N439" s="8">
        <f>SUMIFS(Daily_Merchant!$C$2:$C$444,Daily_Merchant!$A$2:$A$444,C439,Daily_Merchant!$B$2:$B$444,L439)</f>
        <v/>
      </c>
      <c r="O439" s="2">
        <f>IF(AND(N439&gt;5000,K439&lt;&gt;"East"),"High-Value Merchant Day","")</f>
        <v/>
      </c>
    </row>
    <row r="440">
      <c r="A440" s="2" t="inlineStr">
        <is>
          <t>TXN100438</t>
        </is>
      </c>
      <c r="B440" s="2" t="n">
        <v>276</v>
      </c>
      <c r="C440" s="2" t="n">
        <v>31</v>
      </c>
      <c r="D440" s="12" t="n">
        <v>46032.50763888889</v>
      </c>
      <c r="E440" s="8" t="n">
        <v>499</v>
      </c>
      <c r="F440" s="2" t="inlineStr">
        <is>
          <t>UPI</t>
        </is>
      </c>
      <c r="G440" s="2" t="inlineStr">
        <is>
          <t>captured</t>
        </is>
      </c>
      <c r="H440" s="2" t="n">
        <v>30</v>
      </c>
      <c r="I440" s="2">
        <f>IFERROR(VLOOKUP(C440,Merchants!$A$2:$D$41,2,FALSE),"Merchant not found")</f>
        <v/>
      </c>
      <c r="J440" s="2">
        <f>IFERROR(VLOOKUP(C440,Merchants!$A$2:$D$41,3,FALSE),"Merchant not found")</f>
        <v/>
      </c>
      <c r="K440" s="2">
        <f>IFERROR(VLOOKUP(C440,Merchants!$A$2:$D$41,4,FALSE),"Merchant not found")</f>
        <v/>
      </c>
      <c r="L440" s="7">
        <f>DATE(YEAR(D440),MONTH(D440),DAY(D440))</f>
        <v/>
      </c>
      <c r="M440" s="5">
        <f>IFERROR(HLOOKUP(F440,Fee_Tiers!$B$1:$E$2,2,FALSE),"Fee tier not found")</f>
        <v/>
      </c>
      <c r="N440" s="8">
        <f>SUMIFS(Daily_Merchant!$C$2:$C$444,Daily_Merchant!$A$2:$A$444,C440,Daily_Merchant!$B$2:$B$444,L440)</f>
        <v/>
      </c>
      <c r="O440" s="2">
        <f>IF(AND(N440&gt;5000,K440&lt;&gt;"East"),"High-Value Merchant Day","")</f>
        <v/>
      </c>
    </row>
    <row r="441">
      <c r="A441" s="2" t="inlineStr">
        <is>
          <t>TXN100439</t>
        </is>
      </c>
      <c r="B441" s="2" t="n">
        <v>74</v>
      </c>
      <c r="C441" s="2" t="n">
        <v>30</v>
      </c>
      <c r="D441" s="12" t="n">
        <v>46050.30486111111</v>
      </c>
      <c r="E441" s="8" t="n">
        <v>49</v>
      </c>
      <c r="F441" s="2" t="inlineStr">
        <is>
          <t>UPI</t>
        </is>
      </c>
      <c r="G441" s="2" t="inlineStr">
        <is>
          <t>captured</t>
        </is>
      </c>
      <c r="H441" s="2" t="n">
        <v>7</v>
      </c>
      <c r="I441" s="2">
        <f>IFERROR(VLOOKUP(C441,Merchants!$A$2:$D$41,2,FALSE),"Merchant not found")</f>
        <v/>
      </c>
      <c r="J441" s="2">
        <f>IFERROR(VLOOKUP(C441,Merchants!$A$2:$D$41,3,FALSE),"Merchant not found")</f>
        <v/>
      </c>
      <c r="K441" s="2">
        <f>IFERROR(VLOOKUP(C441,Merchants!$A$2:$D$41,4,FALSE),"Merchant not found")</f>
        <v/>
      </c>
      <c r="L441" s="7">
        <f>DATE(YEAR(D441),MONTH(D441),DAY(D441))</f>
        <v/>
      </c>
      <c r="M441" s="5">
        <f>IFERROR(HLOOKUP(F441,Fee_Tiers!$B$1:$E$2,2,FALSE),"Fee tier not found")</f>
        <v/>
      </c>
      <c r="N441" s="8">
        <f>SUMIFS(Daily_Merchant!$C$2:$C$444,Daily_Merchant!$A$2:$A$444,C441,Daily_Merchant!$B$2:$B$444,L441)</f>
        <v/>
      </c>
      <c r="O441" s="2">
        <f>IF(AND(N441&gt;5000,K441&lt;&gt;"East"),"High-Value Merchant Day","")</f>
        <v/>
      </c>
    </row>
    <row r="442">
      <c r="A442" s="2" t="inlineStr">
        <is>
          <t>TXN100440</t>
        </is>
      </c>
      <c r="B442" s="2" t="n">
        <v>286</v>
      </c>
      <c r="C442" s="2" t="n">
        <v>34</v>
      </c>
      <c r="D442" s="12" t="n">
        <v>46040.55972222222</v>
      </c>
      <c r="E442" s="8" t="n">
        <v>49</v>
      </c>
      <c r="F442" s="2" t="inlineStr">
        <is>
          <t>Card</t>
        </is>
      </c>
      <c r="G442" s="2" t="inlineStr">
        <is>
          <t>captured</t>
        </is>
      </c>
      <c r="H442" s="2" t="n">
        <v>17</v>
      </c>
      <c r="I442" s="2">
        <f>IFERROR(VLOOKUP(C442,Merchants!$A$2:$D$41,2,FALSE),"Merchant not found")</f>
        <v/>
      </c>
      <c r="J442" s="2">
        <f>IFERROR(VLOOKUP(C442,Merchants!$A$2:$D$41,3,FALSE),"Merchant not found")</f>
        <v/>
      </c>
      <c r="K442" s="2">
        <f>IFERROR(VLOOKUP(C442,Merchants!$A$2:$D$41,4,FALSE),"Merchant not found")</f>
        <v/>
      </c>
      <c r="L442" s="7">
        <f>DATE(YEAR(D442),MONTH(D442),DAY(D442))</f>
        <v/>
      </c>
      <c r="M442" s="5">
        <f>IFERROR(HLOOKUP(F442,Fee_Tiers!$B$1:$E$2,2,FALSE),"Fee tier not found")</f>
        <v/>
      </c>
      <c r="N442" s="8">
        <f>SUMIFS(Daily_Merchant!$C$2:$C$444,Daily_Merchant!$A$2:$A$444,C442,Daily_Merchant!$B$2:$B$444,L442)</f>
        <v/>
      </c>
      <c r="O442" s="2">
        <f>IF(AND(N442&gt;5000,K442&lt;&gt;"East"),"High-Value Merchant Day","")</f>
        <v/>
      </c>
    </row>
    <row r="443">
      <c r="A443" s="2" t="inlineStr">
        <is>
          <t>TXN100441</t>
        </is>
      </c>
      <c r="B443" s="2" t="n">
        <v>105</v>
      </c>
      <c r="C443" s="2" t="n">
        <v>22</v>
      </c>
      <c r="D443" s="12" t="n">
        <v>46035.30277777778</v>
      </c>
      <c r="E443" s="8" t="n">
        <v>4999</v>
      </c>
      <c r="F443" s="2" t="inlineStr">
        <is>
          <t>UPI</t>
        </is>
      </c>
      <c r="G443" s="2" t="inlineStr">
        <is>
          <t>captured</t>
        </is>
      </c>
      <c r="H443" s="2" t="n">
        <v>82</v>
      </c>
      <c r="I443" s="2">
        <f>IFERROR(VLOOKUP(C443,Merchants!$A$2:$D$41,2,FALSE),"Merchant not found")</f>
        <v/>
      </c>
      <c r="J443" s="2">
        <f>IFERROR(VLOOKUP(C443,Merchants!$A$2:$D$41,3,FALSE),"Merchant not found")</f>
        <v/>
      </c>
      <c r="K443" s="2">
        <f>IFERROR(VLOOKUP(C443,Merchants!$A$2:$D$41,4,FALSE),"Merchant not found")</f>
        <v/>
      </c>
      <c r="L443" s="7">
        <f>DATE(YEAR(D443),MONTH(D443),DAY(D443))</f>
        <v/>
      </c>
      <c r="M443" s="5">
        <f>IFERROR(HLOOKUP(F443,Fee_Tiers!$B$1:$E$2,2,FALSE),"Fee tier not found")</f>
        <v/>
      </c>
      <c r="N443" s="8">
        <f>SUMIFS(Daily_Merchant!$C$2:$C$444,Daily_Merchant!$A$2:$A$444,C443,Daily_Merchant!$B$2:$B$444,L443)</f>
        <v/>
      </c>
      <c r="O443" s="2">
        <f>IF(AND(N443&gt;5000,K443&lt;&gt;"East"),"High-Value Merchant Day","")</f>
        <v/>
      </c>
    </row>
    <row r="444">
      <c r="A444" s="2" t="inlineStr">
        <is>
          <t>TXN100442</t>
        </is>
      </c>
      <c r="B444" s="2" t="n">
        <v>190</v>
      </c>
      <c r="C444" s="2" t="n">
        <v>6</v>
      </c>
      <c r="D444" s="12" t="n">
        <v>46025.62083333333</v>
      </c>
      <c r="E444" s="8" t="n">
        <v>799</v>
      </c>
      <c r="F444" s="2" t="inlineStr">
        <is>
          <t>Wallet</t>
        </is>
      </c>
      <c r="G444" s="2" t="inlineStr">
        <is>
          <t>captured</t>
        </is>
      </c>
      <c r="H444" s="2" t="n">
        <v>68</v>
      </c>
      <c r="I444" s="2">
        <f>IFERROR(VLOOKUP(C444,Merchants!$A$2:$D$41,2,FALSE),"Merchant not found")</f>
        <v/>
      </c>
      <c r="J444" s="2">
        <f>IFERROR(VLOOKUP(C444,Merchants!$A$2:$D$41,3,FALSE),"Merchant not found")</f>
        <v/>
      </c>
      <c r="K444" s="2">
        <f>IFERROR(VLOOKUP(C444,Merchants!$A$2:$D$41,4,FALSE),"Merchant not found")</f>
        <v/>
      </c>
      <c r="L444" s="7">
        <f>DATE(YEAR(D444),MONTH(D444),DAY(D444))</f>
        <v/>
      </c>
      <c r="M444" s="5">
        <f>IFERROR(HLOOKUP(F444,Fee_Tiers!$B$1:$E$2,2,FALSE),"Fee tier not found")</f>
        <v/>
      </c>
      <c r="N444" s="8">
        <f>SUMIFS(Daily_Merchant!$C$2:$C$444,Daily_Merchant!$A$2:$A$444,C444,Daily_Merchant!$B$2:$B$444,L444)</f>
        <v/>
      </c>
      <c r="O444" s="2">
        <f>IF(AND(N444&gt;5000,K444&lt;&gt;"East"),"High-Value Merchant Day","")</f>
        <v/>
      </c>
    </row>
    <row r="445">
      <c r="A445" s="2" t="inlineStr">
        <is>
          <t>TXN100443</t>
        </is>
      </c>
      <c r="B445" s="2" t="n">
        <v>138</v>
      </c>
      <c r="C445" s="2" t="n">
        <v>25</v>
      </c>
      <c r="D445" s="12" t="n">
        <v>46046.25208333333</v>
      </c>
      <c r="E445" s="8" t="n">
        <v>299</v>
      </c>
      <c r="F445" s="2" t="inlineStr">
        <is>
          <t>Wallet</t>
        </is>
      </c>
      <c r="G445" s="2" t="inlineStr">
        <is>
          <t>captured</t>
        </is>
      </c>
      <c r="H445" s="2" t="n">
        <v>86</v>
      </c>
      <c r="I445" s="2">
        <f>IFERROR(VLOOKUP(C445,Merchants!$A$2:$D$41,2,FALSE),"Merchant not found")</f>
        <v/>
      </c>
      <c r="J445" s="2">
        <f>IFERROR(VLOOKUP(C445,Merchants!$A$2:$D$41,3,FALSE),"Merchant not found")</f>
        <v/>
      </c>
      <c r="K445" s="2">
        <f>IFERROR(VLOOKUP(C445,Merchants!$A$2:$D$41,4,FALSE),"Merchant not found")</f>
        <v/>
      </c>
      <c r="L445" s="7">
        <f>DATE(YEAR(D445),MONTH(D445),DAY(D445))</f>
        <v/>
      </c>
      <c r="M445" s="5">
        <f>IFERROR(HLOOKUP(F445,Fee_Tiers!$B$1:$E$2,2,FALSE),"Fee tier not found")</f>
        <v/>
      </c>
      <c r="N445" s="8">
        <f>SUMIFS(Daily_Merchant!$C$2:$C$444,Daily_Merchant!$A$2:$A$444,C445,Daily_Merchant!$B$2:$B$444,L445)</f>
        <v/>
      </c>
      <c r="O445" s="2">
        <f>IF(AND(N445&gt;5000,K445&lt;&gt;"East"),"High-Value Merchant Day","")</f>
        <v/>
      </c>
    </row>
    <row r="446">
      <c r="A446" s="2" t="inlineStr">
        <is>
          <t>TXN100444</t>
        </is>
      </c>
      <c r="B446" s="2" t="n">
        <v>38</v>
      </c>
      <c r="C446" s="2" t="n">
        <v>13</v>
      </c>
      <c r="D446" s="12" t="n">
        <v>46042.79305555556</v>
      </c>
      <c r="E446" s="8" t="n">
        <v>4999</v>
      </c>
      <c r="F446" s="2" t="inlineStr">
        <is>
          <t>Netbanking</t>
        </is>
      </c>
      <c r="G446" s="2" t="inlineStr">
        <is>
          <t>captured</t>
        </is>
      </c>
      <c r="H446" s="2" t="n">
        <v>97</v>
      </c>
      <c r="I446" s="2">
        <f>IFERROR(VLOOKUP(C446,Merchants!$A$2:$D$41,2,FALSE),"Merchant not found")</f>
        <v/>
      </c>
      <c r="J446" s="2">
        <f>IFERROR(VLOOKUP(C446,Merchants!$A$2:$D$41,3,FALSE),"Merchant not found")</f>
        <v/>
      </c>
      <c r="K446" s="2">
        <f>IFERROR(VLOOKUP(C446,Merchants!$A$2:$D$41,4,FALSE),"Merchant not found")</f>
        <v/>
      </c>
      <c r="L446" s="7">
        <f>DATE(YEAR(D446),MONTH(D446),DAY(D446))</f>
        <v/>
      </c>
      <c r="M446" s="5">
        <f>IFERROR(HLOOKUP(F446,Fee_Tiers!$B$1:$E$2,2,FALSE),"Fee tier not found")</f>
        <v/>
      </c>
      <c r="N446" s="8">
        <f>SUMIFS(Daily_Merchant!$C$2:$C$444,Daily_Merchant!$A$2:$A$444,C446,Daily_Merchant!$B$2:$B$444,L446)</f>
        <v/>
      </c>
      <c r="O446" s="2">
        <f>IF(AND(N446&gt;5000,K446&lt;&gt;"East"),"High-Value Merchant Day","")</f>
        <v/>
      </c>
    </row>
    <row r="447">
      <c r="A447" s="2" t="inlineStr">
        <is>
          <t>TXN100445</t>
        </is>
      </c>
      <c r="B447" s="2" t="n">
        <v>287</v>
      </c>
      <c r="C447" s="2" t="n">
        <v>14</v>
      </c>
      <c r="D447" s="12" t="n">
        <v>46041.9875</v>
      </c>
      <c r="E447" s="8" t="n">
        <v>99</v>
      </c>
      <c r="F447" s="2" t="inlineStr">
        <is>
          <t>Wallet</t>
        </is>
      </c>
      <c r="G447" s="2" t="inlineStr">
        <is>
          <t>captured</t>
        </is>
      </c>
      <c r="H447" s="2" t="n">
        <v>61</v>
      </c>
      <c r="I447" s="2">
        <f>IFERROR(VLOOKUP(C447,Merchants!$A$2:$D$41,2,FALSE),"Merchant not found")</f>
        <v/>
      </c>
      <c r="J447" s="2">
        <f>IFERROR(VLOOKUP(C447,Merchants!$A$2:$D$41,3,FALSE),"Merchant not found")</f>
        <v/>
      </c>
      <c r="K447" s="2">
        <f>IFERROR(VLOOKUP(C447,Merchants!$A$2:$D$41,4,FALSE),"Merchant not found")</f>
        <v/>
      </c>
      <c r="L447" s="7">
        <f>DATE(YEAR(D447),MONTH(D447),DAY(D447))</f>
        <v/>
      </c>
      <c r="M447" s="5">
        <f>IFERROR(HLOOKUP(F447,Fee_Tiers!$B$1:$E$2,2,FALSE),"Fee tier not found")</f>
        <v/>
      </c>
      <c r="N447" s="8">
        <f>SUMIFS(Daily_Merchant!$C$2:$C$444,Daily_Merchant!$A$2:$A$444,C447,Daily_Merchant!$B$2:$B$444,L447)</f>
        <v/>
      </c>
      <c r="O447" s="2">
        <f>IF(AND(N447&gt;5000,K447&lt;&gt;"East"),"High-Value Merchant Day","")</f>
        <v/>
      </c>
    </row>
    <row r="448">
      <c r="A448" s="2" t="inlineStr">
        <is>
          <t>TXN100446</t>
        </is>
      </c>
      <c r="B448" s="2" t="n">
        <v>8</v>
      </c>
      <c r="C448" s="2" t="n">
        <v>14</v>
      </c>
      <c r="D448" s="12" t="n">
        <v>46029.42986111111</v>
      </c>
      <c r="E448" s="8" t="n">
        <v>49</v>
      </c>
      <c r="F448" s="2" t="inlineStr">
        <is>
          <t>UPI</t>
        </is>
      </c>
      <c r="G448" s="2" t="inlineStr">
        <is>
          <t>captured</t>
        </is>
      </c>
      <c r="H448" s="2" t="n">
        <v>24</v>
      </c>
      <c r="I448" s="2">
        <f>IFERROR(VLOOKUP(C448,Merchants!$A$2:$D$41,2,FALSE),"Merchant not found")</f>
        <v/>
      </c>
      <c r="J448" s="2">
        <f>IFERROR(VLOOKUP(C448,Merchants!$A$2:$D$41,3,FALSE),"Merchant not found")</f>
        <v/>
      </c>
      <c r="K448" s="2">
        <f>IFERROR(VLOOKUP(C448,Merchants!$A$2:$D$41,4,FALSE),"Merchant not found")</f>
        <v/>
      </c>
      <c r="L448" s="7">
        <f>DATE(YEAR(D448),MONTH(D448),DAY(D448))</f>
        <v/>
      </c>
      <c r="M448" s="5">
        <f>IFERROR(HLOOKUP(F448,Fee_Tiers!$B$1:$E$2,2,FALSE),"Fee tier not found")</f>
        <v/>
      </c>
      <c r="N448" s="8">
        <f>SUMIFS(Daily_Merchant!$C$2:$C$444,Daily_Merchant!$A$2:$A$444,C448,Daily_Merchant!$B$2:$B$444,L448)</f>
        <v/>
      </c>
      <c r="O448" s="2">
        <f>IF(AND(N448&gt;5000,K448&lt;&gt;"East"),"High-Value Merchant Day","")</f>
        <v/>
      </c>
    </row>
    <row r="449">
      <c r="A449" s="2" t="inlineStr">
        <is>
          <t>TXN100447</t>
        </is>
      </c>
      <c r="B449" s="2" t="n">
        <v>246</v>
      </c>
      <c r="C449" s="2" t="n">
        <v>16</v>
      </c>
      <c r="D449" s="12" t="n">
        <v>46046.15763888889</v>
      </c>
      <c r="E449" s="8" t="n">
        <v>1499</v>
      </c>
      <c r="F449" s="2" t="inlineStr">
        <is>
          <t>Wallet</t>
        </is>
      </c>
      <c r="G449" s="2" t="inlineStr">
        <is>
          <t>captured</t>
        </is>
      </c>
      <c r="H449" s="2" t="n">
        <v>89</v>
      </c>
      <c r="I449" s="2">
        <f>IFERROR(VLOOKUP(C449,Merchants!$A$2:$D$41,2,FALSE),"Merchant not found")</f>
        <v/>
      </c>
      <c r="J449" s="2">
        <f>IFERROR(VLOOKUP(C449,Merchants!$A$2:$D$41,3,FALSE),"Merchant not found")</f>
        <v/>
      </c>
      <c r="K449" s="2">
        <f>IFERROR(VLOOKUP(C449,Merchants!$A$2:$D$41,4,FALSE),"Merchant not found")</f>
        <v/>
      </c>
      <c r="L449" s="7">
        <f>DATE(YEAR(D449),MONTH(D449),DAY(D449))</f>
        <v/>
      </c>
      <c r="M449" s="5">
        <f>IFERROR(HLOOKUP(F449,Fee_Tiers!$B$1:$E$2,2,FALSE),"Fee tier not found")</f>
        <v/>
      </c>
      <c r="N449" s="8">
        <f>SUMIFS(Daily_Merchant!$C$2:$C$444,Daily_Merchant!$A$2:$A$444,C449,Daily_Merchant!$B$2:$B$444,L449)</f>
        <v/>
      </c>
      <c r="O449" s="2">
        <f>IF(AND(N449&gt;5000,K449&lt;&gt;"East"),"High-Value Merchant Day","")</f>
        <v/>
      </c>
    </row>
    <row r="450">
      <c r="A450" s="2" t="inlineStr">
        <is>
          <t>TXN100448</t>
        </is>
      </c>
      <c r="B450" s="2" t="n">
        <v>204</v>
      </c>
      <c r="C450" s="2" t="n">
        <v>16</v>
      </c>
      <c r="D450" s="12" t="n">
        <v>46042.92569444444</v>
      </c>
      <c r="E450" s="8" t="n">
        <v>149</v>
      </c>
      <c r="F450" s="2" t="inlineStr">
        <is>
          <t>UPI</t>
        </is>
      </c>
      <c r="G450" s="2" t="inlineStr">
        <is>
          <t>captured</t>
        </is>
      </c>
      <c r="H450" s="2" t="n">
        <v>70</v>
      </c>
      <c r="I450" s="2">
        <f>IFERROR(VLOOKUP(C450,Merchants!$A$2:$D$41,2,FALSE),"Merchant not found")</f>
        <v/>
      </c>
      <c r="J450" s="2">
        <f>IFERROR(VLOOKUP(C450,Merchants!$A$2:$D$41,3,FALSE),"Merchant not found")</f>
        <v/>
      </c>
      <c r="K450" s="2">
        <f>IFERROR(VLOOKUP(C450,Merchants!$A$2:$D$41,4,FALSE),"Merchant not found")</f>
        <v/>
      </c>
      <c r="L450" s="7">
        <f>DATE(YEAR(D450),MONTH(D450),DAY(D450))</f>
        <v/>
      </c>
      <c r="M450" s="5">
        <f>IFERROR(HLOOKUP(F450,Fee_Tiers!$B$1:$E$2,2,FALSE),"Fee tier not found")</f>
        <v/>
      </c>
      <c r="N450" s="8">
        <f>SUMIFS(Daily_Merchant!$C$2:$C$444,Daily_Merchant!$A$2:$A$444,C450,Daily_Merchant!$B$2:$B$444,L450)</f>
        <v/>
      </c>
      <c r="O450" s="2">
        <f>IF(AND(N450&gt;5000,K450&lt;&gt;"East"),"High-Value Merchant Day","")</f>
        <v/>
      </c>
    </row>
    <row r="451">
      <c r="A451" s="2" t="inlineStr">
        <is>
          <t>TXN100449</t>
        </is>
      </c>
      <c r="B451" s="2" t="n">
        <v>239</v>
      </c>
      <c r="C451" s="2" t="n">
        <v>35</v>
      </c>
      <c r="D451" s="12" t="n">
        <v>46033.39166666667</v>
      </c>
      <c r="E451" s="8" t="n">
        <v>4999</v>
      </c>
      <c r="F451" s="2" t="inlineStr">
        <is>
          <t>UPI</t>
        </is>
      </c>
      <c r="G451" s="2" t="inlineStr">
        <is>
          <t>captured</t>
        </is>
      </c>
      <c r="H451" s="2" t="n">
        <v>83</v>
      </c>
      <c r="I451" s="2">
        <f>IFERROR(VLOOKUP(C451,Merchants!$A$2:$D$41,2,FALSE),"Merchant not found")</f>
        <v/>
      </c>
      <c r="J451" s="2">
        <f>IFERROR(VLOOKUP(C451,Merchants!$A$2:$D$41,3,FALSE),"Merchant not found")</f>
        <v/>
      </c>
      <c r="K451" s="2">
        <f>IFERROR(VLOOKUP(C451,Merchants!$A$2:$D$41,4,FALSE),"Merchant not found")</f>
        <v/>
      </c>
      <c r="L451" s="7">
        <f>DATE(YEAR(D451),MONTH(D451),DAY(D451))</f>
        <v/>
      </c>
      <c r="M451" s="5">
        <f>IFERROR(HLOOKUP(F451,Fee_Tiers!$B$1:$E$2,2,FALSE),"Fee tier not found")</f>
        <v/>
      </c>
      <c r="N451" s="8">
        <f>SUMIFS(Daily_Merchant!$C$2:$C$444,Daily_Merchant!$A$2:$A$444,C451,Daily_Merchant!$B$2:$B$444,L451)</f>
        <v/>
      </c>
      <c r="O451" s="2">
        <f>IF(AND(N451&gt;5000,K451&lt;&gt;"East"),"High-Value Merchant Day","")</f>
        <v/>
      </c>
    </row>
    <row r="452">
      <c r="A452" s="2" t="inlineStr">
        <is>
          <t>TXN100450</t>
        </is>
      </c>
      <c r="B452" s="2" t="n">
        <v>185</v>
      </c>
      <c r="C452" s="2" t="n">
        <v>33</v>
      </c>
      <c r="D452" s="12" t="n">
        <v>46034.38611111111</v>
      </c>
      <c r="E452" s="8" t="n">
        <v>299</v>
      </c>
      <c r="F452" s="2" t="inlineStr">
        <is>
          <t>UPI</t>
        </is>
      </c>
      <c r="G452" s="2" t="inlineStr">
        <is>
          <t>captured</t>
        </is>
      </c>
      <c r="H452" s="2" t="n">
        <v>63</v>
      </c>
      <c r="I452" s="2">
        <f>IFERROR(VLOOKUP(C452,Merchants!$A$2:$D$41,2,FALSE),"Merchant not found")</f>
        <v/>
      </c>
      <c r="J452" s="2">
        <f>IFERROR(VLOOKUP(C452,Merchants!$A$2:$D$41,3,FALSE),"Merchant not found")</f>
        <v/>
      </c>
      <c r="K452" s="2">
        <f>IFERROR(VLOOKUP(C452,Merchants!$A$2:$D$41,4,FALSE),"Merchant not found")</f>
        <v/>
      </c>
      <c r="L452" s="7">
        <f>DATE(YEAR(D452),MONTH(D452),DAY(D452))</f>
        <v/>
      </c>
      <c r="M452" s="5">
        <f>IFERROR(HLOOKUP(F452,Fee_Tiers!$B$1:$E$2,2,FALSE),"Fee tier not found")</f>
        <v/>
      </c>
      <c r="N452" s="8">
        <f>SUMIFS(Daily_Merchant!$C$2:$C$444,Daily_Merchant!$A$2:$A$444,C452,Daily_Merchant!$B$2:$B$444,L452)</f>
        <v/>
      </c>
      <c r="O452" s="2">
        <f>IF(AND(N452&gt;5000,K452&lt;&gt;"East"),"High-Value Merchant Day","")</f>
        <v/>
      </c>
    </row>
    <row r="453">
      <c r="A453" s="2" t="inlineStr">
        <is>
          <t>TXN100451</t>
        </is>
      </c>
      <c r="B453" s="2" t="n">
        <v>241</v>
      </c>
      <c r="C453" s="2" t="n">
        <v>21</v>
      </c>
      <c r="D453" s="12" t="n">
        <v>46037.16041666667</v>
      </c>
      <c r="E453" s="8" t="n">
        <v>299</v>
      </c>
      <c r="F453" s="2" t="inlineStr">
        <is>
          <t>Card</t>
        </is>
      </c>
      <c r="G453" s="2" t="inlineStr">
        <is>
          <t>captured</t>
        </is>
      </c>
      <c r="H453" s="2" t="n">
        <v>26</v>
      </c>
      <c r="I453" s="2">
        <f>IFERROR(VLOOKUP(C453,Merchants!$A$2:$D$41,2,FALSE),"Merchant not found")</f>
        <v/>
      </c>
      <c r="J453" s="2">
        <f>IFERROR(VLOOKUP(C453,Merchants!$A$2:$D$41,3,FALSE),"Merchant not found")</f>
        <v/>
      </c>
      <c r="K453" s="2">
        <f>IFERROR(VLOOKUP(C453,Merchants!$A$2:$D$41,4,FALSE),"Merchant not found")</f>
        <v/>
      </c>
      <c r="L453" s="7">
        <f>DATE(YEAR(D453),MONTH(D453),DAY(D453))</f>
        <v/>
      </c>
      <c r="M453" s="5">
        <f>IFERROR(HLOOKUP(F453,Fee_Tiers!$B$1:$E$2,2,FALSE),"Fee tier not found")</f>
        <v/>
      </c>
      <c r="N453" s="8">
        <f>SUMIFS(Daily_Merchant!$C$2:$C$444,Daily_Merchant!$A$2:$A$444,C453,Daily_Merchant!$B$2:$B$444,L453)</f>
        <v/>
      </c>
      <c r="O453" s="2">
        <f>IF(AND(N453&gt;5000,K453&lt;&gt;"East"),"High-Value Merchant Day","")</f>
        <v/>
      </c>
    </row>
    <row r="454">
      <c r="A454" s="2" t="inlineStr">
        <is>
          <t>TXN100452</t>
        </is>
      </c>
      <c r="B454" s="2" t="n">
        <v>24</v>
      </c>
      <c r="C454" s="2" t="n">
        <v>37</v>
      </c>
      <c r="D454" s="12" t="n">
        <v>46034.43472222222</v>
      </c>
      <c r="E454" s="8" t="n">
        <v>149</v>
      </c>
      <c r="F454" s="2" t="inlineStr">
        <is>
          <t>UPI</t>
        </is>
      </c>
      <c r="G454" s="2" t="inlineStr">
        <is>
          <t>captured</t>
        </is>
      </c>
      <c r="H454" s="2" t="n">
        <v>28</v>
      </c>
      <c r="I454" s="2">
        <f>IFERROR(VLOOKUP(C454,Merchants!$A$2:$D$41,2,FALSE),"Merchant not found")</f>
        <v/>
      </c>
      <c r="J454" s="2">
        <f>IFERROR(VLOOKUP(C454,Merchants!$A$2:$D$41,3,FALSE),"Merchant not found")</f>
        <v/>
      </c>
      <c r="K454" s="2">
        <f>IFERROR(VLOOKUP(C454,Merchants!$A$2:$D$41,4,FALSE),"Merchant not found")</f>
        <v/>
      </c>
      <c r="L454" s="7">
        <f>DATE(YEAR(D454),MONTH(D454),DAY(D454))</f>
        <v/>
      </c>
      <c r="M454" s="5">
        <f>IFERROR(HLOOKUP(F454,Fee_Tiers!$B$1:$E$2,2,FALSE),"Fee tier not found")</f>
        <v/>
      </c>
      <c r="N454" s="8">
        <f>SUMIFS(Daily_Merchant!$C$2:$C$444,Daily_Merchant!$A$2:$A$444,C454,Daily_Merchant!$B$2:$B$444,L454)</f>
        <v/>
      </c>
      <c r="O454" s="2">
        <f>IF(AND(N454&gt;5000,K454&lt;&gt;"East"),"High-Value Merchant Day","")</f>
        <v/>
      </c>
    </row>
    <row r="455">
      <c r="A455" s="2" t="inlineStr">
        <is>
          <t>TXN100453</t>
        </is>
      </c>
      <c r="B455" s="2" t="n">
        <v>134</v>
      </c>
      <c r="C455" s="2" t="n">
        <v>36</v>
      </c>
      <c r="D455" s="12" t="n">
        <v>46046.16736111111</v>
      </c>
      <c r="E455" s="8" t="n">
        <v>1499</v>
      </c>
      <c r="F455" s="2" t="inlineStr">
        <is>
          <t>UPI</t>
        </is>
      </c>
      <c r="G455" s="2" t="inlineStr">
        <is>
          <t>captured</t>
        </is>
      </c>
      <c r="H455" s="2" t="n">
        <v>74</v>
      </c>
      <c r="I455" s="2">
        <f>IFERROR(VLOOKUP(C455,Merchants!$A$2:$D$41,2,FALSE),"Merchant not found")</f>
        <v/>
      </c>
      <c r="J455" s="2">
        <f>IFERROR(VLOOKUP(C455,Merchants!$A$2:$D$41,3,FALSE),"Merchant not found")</f>
        <v/>
      </c>
      <c r="K455" s="2">
        <f>IFERROR(VLOOKUP(C455,Merchants!$A$2:$D$41,4,FALSE),"Merchant not found")</f>
        <v/>
      </c>
      <c r="L455" s="7">
        <f>DATE(YEAR(D455),MONTH(D455),DAY(D455))</f>
        <v/>
      </c>
      <c r="M455" s="5">
        <f>IFERROR(HLOOKUP(F455,Fee_Tiers!$B$1:$E$2,2,FALSE),"Fee tier not found")</f>
        <v/>
      </c>
      <c r="N455" s="8">
        <f>SUMIFS(Daily_Merchant!$C$2:$C$444,Daily_Merchant!$A$2:$A$444,C455,Daily_Merchant!$B$2:$B$444,L455)</f>
        <v/>
      </c>
      <c r="O455" s="2">
        <f>IF(AND(N455&gt;5000,K455&lt;&gt;"East"),"High-Value Merchant Day","")</f>
        <v/>
      </c>
    </row>
    <row r="456">
      <c r="A456" s="2" t="inlineStr">
        <is>
          <t>TXN100454</t>
        </is>
      </c>
      <c r="B456" s="2" t="n">
        <v>152</v>
      </c>
      <c r="C456" s="2" t="n">
        <v>10</v>
      </c>
      <c r="D456" s="12" t="n">
        <v>46041.97638888889</v>
      </c>
      <c r="E456" s="8" t="n">
        <v>499</v>
      </c>
      <c r="F456" s="2" t="inlineStr">
        <is>
          <t>Wallet</t>
        </is>
      </c>
      <c r="G456" s="2" t="inlineStr">
        <is>
          <t>captured</t>
        </is>
      </c>
      <c r="H456" s="2" t="n">
        <v>25</v>
      </c>
      <c r="I456" s="2">
        <f>IFERROR(VLOOKUP(C456,Merchants!$A$2:$D$41,2,FALSE),"Merchant not found")</f>
        <v/>
      </c>
      <c r="J456" s="2">
        <f>IFERROR(VLOOKUP(C456,Merchants!$A$2:$D$41,3,FALSE),"Merchant not found")</f>
        <v/>
      </c>
      <c r="K456" s="2">
        <f>IFERROR(VLOOKUP(C456,Merchants!$A$2:$D$41,4,FALSE),"Merchant not found")</f>
        <v/>
      </c>
      <c r="L456" s="7">
        <f>DATE(YEAR(D456),MONTH(D456),DAY(D456))</f>
        <v/>
      </c>
      <c r="M456" s="5">
        <f>IFERROR(HLOOKUP(F456,Fee_Tiers!$B$1:$E$2,2,FALSE),"Fee tier not found")</f>
        <v/>
      </c>
      <c r="N456" s="8">
        <f>SUMIFS(Daily_Merchant!$C$2:$C$444,Daily_Merchant!$A$2:$A$444,C456,Daily_Merchant!$B$2:$B$444,L456)</f>
        <v/>
      </c>
      <c r="O456" s="2">
        <f>IF(AND(N456&gt;5000,K456&lt;&gt;"East"),"High-Value Merchant Day","")</f>
        <v/>
      </c>
    </row>
    <row r="457">
      <c r="A457" s="2" t="inlineStr">
        <is>
          <t>TXN100455</t>
        </is>
      </c>
      <c r="B457" s="2" t="n">
        <v>292</v>
      </c>
      <c r="C457" s="2" t="n">
        <v>16</v>
      </c>
      <c r="D457" s="12" t="n">
        <v>46033.30833333333</v>
      </c>
      <c r="E457" s="8" t="n">
        <v>499</v>
      </c>
      <c r="F457" s="2" t="inlineStr">
        <is>
          <t>Netbanking</t>
        </is>
      </c>
      <c r="G457" s="2" t="inlineStr">
        <is>
          <t>captured</t>
        </is>
      </c>
      <c r="H457" s="2" t="n">
        <v>63</v>
      </c>
      <c r="I457" s="2">
        <f>IFERROR(VLOOKUP(C457,Merchants!$A$2:$D$41,2,FALSE),"Merchant not found")</f>
        <v/>
      </c>
      <c r="J457" s="2">
        <f>IFERROR(VLOOKUP(C457,Merchants!$A$2:$D$41,3,FALSE),"Merchant not found")</f>
        <v/>
      </c>
      <c r="K457" s="2">
        <f>IFERROR(VLOOKUP(C457,Merchants!$A$2:$D$41,4,FALSE),"Merchant not found")</f>
        <v/>
      </c>
      <c r="L457" s="7">
        <f>DATE(YEAR(D457),MONTH(D457),DAY(D457))</f>
        <v/>
      </c>
      <c r="M457" s="5">
        <f>IFERROR(HLOOKUP(F457,Fee_Tiers!$B$1:$E$2,2,FALSE),"Fee tier not found")</f>
        <v/>
      </c>
      <c r="N457" s="8">
        <f>SUMIFS(Daily_Merchant!$C$2:$C$444,Daily_Merchant!$A$2:$A$444,C457,Daily_Merchant!$B$2:$B$444,L457)</f>
        <v/>
      </c>
      <c r="O457" s="2">
        <f>IF(AND(N457&gt;5000,K457&lt;&gt;"East"),"High-Value Merchant Day","")</f>
        <v/>
      </c>
    </row>
    <row r="458">
      <c r="A458" s="2" t="inlineStr">
        <is>
          <t>TXN100456</t>
        </is>
      </c>
      <c r="B458" s="2" t="n">
        <v>173</v>
      </c>
      <c r="C458" s="2" t="n">
        <v>17</v>
      </c>
      <c r="D458" s="12" t="n">
        <v>46040.86319444444</v>
      </c>
      <c r="E458" s="8" t="n">
        <v>99</v>
      </c>
      <c r="F458" s="2" t="inlineStr">
        <is>
          <t>Netbanking</t>
        </is>
      </c>
      <c r="G458" s="2" t="inlineStr">
        <is>
          <t>captured</t>
        </is>
      </c>
      <c r="H458" s="2" t="n">
        <v>97</v>
      </c>
      <c r="I458" s="2">
        <f>IFERROR(VLOOKUP(C458,Merchants!$A$2:$D$41,2,FALSE),"Merchant not found")</f>
        <v/>
      </c>
      <c r="J458" s="2">
        <f>IFERROR(VLOOKUP(C458,Merchants!$A$2:$D$41,3,FALSE),"Merchant not found")</f>
        <v/>
      </c>
      <c r="K458" s="2">
        <f>IFERROR(VLOOKUP(C458,Merchants!$A$2:$D$41,4,FALSE),"Merchant not found")</f>
        <v/>
      </c>
      <c r="L458" s="7">
        <f>DATE(YEAR(D458),MONTH(D458),DAY(D458))</f>
        <v/>
      </c>
      <c r="M458" s="5">
        <f>IFERROR(HLOOKUP(F458,Fee_Tiers!$B$1:$E$2,2,FALSE),"Fee tier not found")</f>
        <v/>
      </c>
      <c r="N458" s="8">
        <f>SUMIFS(Daily_Merchant!$C$2:$C$444,Daily_Merchant!$A$2:$A$444,C458,Daily_Merchant!$B$2:$B$444,L458)</f>
        <v/>
      </c>
      <c r="O458" s="2">
        <f>IF(AND(N458&gt;5000,K458&lt;&gt;"East"),"High-Value Merchant Day","")</f>
        <v/>
      </c>
    </row>
    <row r="459">
      <c r="A459" s="2" t="inlineStr">
        <is>
          <t>TXN100457</t>
        </is>
      </c>
      <c r="B459" s="2" t="n">
        <v>329</v>
      </c>
      <c r="C459" s="2" t="n">
        <v>32</v>
      </c>
      <c r="D459" s="12" t="n">
        <v>46049.65694444445</v>
      </c>
      <c r="E459" s="8" t="n">
        <v>1499</v>
      </c>
      <c r="F459" s="2" t="inlineStr">
        <is>
          <t>UPI</t>
        </is>
      </c>
      <c r="G459" s="2" t="inlineStr">
        <is>
          <t>captured</t>
        </is>
      </c>
      <c r="H459" s="2" t="n">
        <v>58</v>
      </c>
      <c r="I459" s="2">
        <f>IFERROR(VLOOKUP(C459,Merchants!$A$2:$D$41,2,FALSE),"Merchant not found")</f>
        <v/>
      </c>
      <c r="J459" s="2">
        <f>IFERROR(VLOOKUP(C459,Merchants!$A$2:$D$41,3,FALSE),"Merchant not found")</f>
        <v/>
      </c>
      <c r="K459" s="2">
        <f>IFERROR(VLOOKUP(C459,Merchants!$A$2:$D$41,4,FALSE),"Merchant not found")</f>
        <v/>
      </c>
      <c r="L459" s="7">
        <f>DATE(YEAR(D459),MONTH(D459),DAY(D459))</f>
        <v/>
      </c>
      <c r="M459" s="5">
        <f>IFERROR(HLOOKUP(F459,Fee_Tiers!$B$1:$E$2,2,FALSE),"Fee tier not found")</f>
        <v/>
      </c>
      <c r="N459" s="8">
        <f>SUMIFS(Daily_Merchant!$C$2:$C$444,Daily_Merchant!$A$2:$A$444,C459,Daily_Merchant!$B$2:$B$444,L459)</f>
        <v/>
      </c>
      <c r="O459" s="2">
        <f>IF(AND(N459&gt;5000,K459&lt;&gt;"East"),"High-Value Merchant Day","")</f>
        <v/>
      </c>
    </row>
    <row r="460">
      <c r="A460" s="2" t="inlineStr">
        <is>
          <t>TXN100458</t>
        </is>
      </c>
      <c r="B460" s="2" t="n">
        <v>181</v>
      </c>
      <c r="C460" s="2" t="n">
        <v>11</v>
      </c>
      <c r="D460" s="12" t="n">
        <v>46028.99305555555</v>
      </c>
      <c r="E460" s="8" t="n">
        <v>1499</v>
      </c>
      <c r="F460" s="2" t="inlineStr">
        <is>
          <t>UPI</t>
        </is>
      </c>
      <c r="G460" s="2" t="inlineStr">
        <is>
          <t>captured</t>
        </is>
      </c>
      <c r="H460" s="2" t="n">
        <v>17</v>
      </c>
      <c r="I460" s="2">
        <f>IFERROR(VLOOKUP(C460,Merchants!$A$2:$D$41,2,FALSE),"Merchant not found")</f>
        <v/>
      </c>
      <c r="J460" s="2">
        <f>IFERROR(VLOOKUP(C460,Merchants!$A$2:$D$41,3,FALSE),"Merchant not found")</f>
        <v/>
      </c>
      <c r="K460" s="2">
        <f>IFERROR(VLOOKUP(C460,Merchants!$A$2:$D$41,4,FALSE),"Merchant not found")</f>
        <v/>
      </c>
      <c r="L460" s="7">
        <f>DATE(YEAR(D460),MONTH(D460),DAY(D460))</f>
        <v/>
      </c>
      <c r="M460" s="5">
        <f>IFERROR(HLOOKUP(F460,Fee_Tiers!$B$1:$E$2,2,FALSE),"Fee tier not found")</f>
        <v/>
      </c>
      <c r="N460" s="8">
        <f>SUMIFS(Daily_Merchant!$C$2:$C$444,Daily_Merchant!$A$2:$A$444,C460,Daily_Merchant!$B$2:$B$444,L460)</f>
        <v/>
      </c>
      <c r="O460" s="2">
        <f>IF(AND(N460&gt;5000,K460&lt;&gt;"East"),"High-Value Merchant Day","")</f>
        <v/>
      </c>
    </row>
    <row r="461">
      <c r="A461" s="2" t="inlineStr">
        <is>
          <t>TXN100459</t>
        </is>
      </c>
      <c r="B461" s="2" t="n">
        <v>95</v>
      </c>
      <c r="C461" s="2" t="n">
        <v>35</v>
      </c>
      <c r="D461" s="12" t="n">
        <v>46046.72986111111</v>
      </c>
      <c r="E461" s="8" t="n">
        <v>149</v>
      </c>
      <c r="F461" s="2" t="inlineStr">
        <is>
          <t>Wallet</t>
        </is>
      </c>
      <c r="G461" s="2" t="inlineStr">
        <is>
          <t>captured</t>
        </is>
      </c>
      <c r="H461" s="2" t="n">
        <v>82</v>
      </c>
      <c r="I461" s="2">
        <f>IFERROR(VLOOKUP(C461,Merchants!$A$2:$D$41,2,FALSE),"Merchant not found")</f>
        <v/>
      </c>
      <c r="J461" s="2">
        <f>IFERROR(VLOOKUP(C461,Merchants!$A$2:$D$41,3,FALSE),"Merchant not found")</f>
        <v/>
      </c>
      <c r="K461" s="2">
        <f>IFERROR(VLOOKUP(C461,Merchants!$A$2:$D$41,4,FALSE),"Merchant not found")</f>
        <v/>
      </c>
      <c r="L461" s="7">
        <f>DATE(YEAR(D461),MONTH(D461),DAY(D461))</f>
        <v/>
      </c>
      <c r="M461" s="5">
        <f>IFERROR(HLOOKUP(F461,Fee_Tiers!$B$1:$E$2,2,FALSE),"Fee tier not found")</f>
        <v/>
      </c>
      <c r="N461" s="8">
        <f>SUMIFS(Daily_Merchant!$C$2:$C$444,Daily_Merchant!$A$2:$A$444,C461,Daily_Merchant!$B$2:$B$444,L461)</f>
        <v/>
      </c>
      <c r="O461" s="2">
        <f>IF(AND(N461&gt;5000,K461&lt;&gt;"East"),"High-Value Merchant Day","")</f>
        <v/>
      </c>
    </row>
    <row r="462">
      <c r="A462" s="2" t="inlineStr">
        <is>
          <t>TXN100460</t>
        </is>
      </c>
      <c r="B462" s="2" t="n">
        <v>39</v>
      </c>
      <c r="C462" s="2" t="n">
        <v>4</v>
      </c>
      <c r="D462" s="12" t="n">
        <v>46024.66805555556</v>
      </c>
      <c r="E462" s="8" t="n">
        <v>149</v>
      </c>
      <c r="F462" s="2" t="inlineStr">
        <is>
          <t>Netbanking</t>
        </is>
      </c>
      <c r="G462" s="2" t="inlineStr">
        <is>
          <t>captured</t>
        </is>
      </c>
      <c r="H462" s="2" t="n">
        <v>97</v>
      </c>
      <c r="I462" s="2">
        <f>IFERROR(VLOOKUP(C462,Merchants!$A$2:$D$41,2,FALSE),"Merchant not found")</f>
        <v/>
      </c>
      <c r="J462" s="2">
        <f>IFERROR(VLOOKUP(C462,Merchants!$A$2:$D$41,3,FALSE),"Merchant not found")</f>
        <v/>
      </c>
      <c r="K462" s="2">
        <f>IFERROR(VLOOKUP(C462,Merchants!$A$2:$D$41,4,FALSE),"Merchant not found")</f>
        <v/>
      </c>
      <c r="L462" s="7">
        <f>DATE(YEAR(D462),MONTH(D462),DAY(D462))</f>
        <v/>
      </c>
      <c r="M462" s="5">
        <f>IFERROR(HLOOKUP(F462,Fee_Tiers!$B$1:$E$2,2,FALSE),"Fee tier not found")</f>
        <v/>
      </c>
      <c r="N462" s="8">
        <f>SUMIFS(Daily_Merchant!$C$2:$C$444,Daily_Merchant!$A$2:$A$444,C462,Daily_Merchant!$B$2:$B$444,L462)</f>
        <v/>
      </c>
      <c r="O462" s="2">
        <f>IF(AND(N462&gt;5000,K462&lt;&gt;"East"),"High-Value Merchant Day","")</f>
        <v/>
      </c>
    </row>
    <row r="463">
      <c r="A463" s="2" t="inlineStr">
        <is>
          <t>TXN100461</t>
        </is>
      </c>
      <c r="B463" s="2" t="n">
        <v>323</v>
      </c>
      <c r="C463" s="2" t="n">
        <v>15</v>
      </c>
      <c r="D463" s="12" t="n">
        <v>46023.54722222222</v>
      </c>
      <c r="E463" s="8" t="n">
        <v>499</v>
      </c>
      <c r="F463" s="2" t="inlineStr">
        <is>
          <t>UPI</t>
        </is>
      </c>
      <c r="G463" s="2" t="inlineStr">
        <is>
          <t>captured</t>
        </is>
      </c>
      <c r="H463" s="2" t="n">
        <v>8</v>
      </c>
      <c r="I463" s="2">
        <f>IFERROR(VLOOKUP(C463,Merchants!$A$2:$D$41,2,FALSE),"Merchant not found")</f>
        <v/>
      </c>
      <c r="J463" s="2">
        <f>IFERROR(VLOOKUP(C463,Merchants!$A$2:$D$41,3,FALSE),"Merchant not found")</f>
        <v/>
      </c>
      <c r="K463" s="2">
        <f>IFERROR(VLOOKUP(C463,Merchants!$A$2:$D$41,4,FALSE),"Merchant not found")</f>
        <v/>
      </c>
      <c r="L463" s="7">
        <f>DATE(YEAR(D463),MONTH(D463),DAY(D463))</f>
        <v/>
      </c>
      <c r="M463" s="5">
        <f>IFERROR(HLOOKUP(F463,Fee_Tiers!$B$1:$E$2,2,FALSE),"Fee tier not found")</f>
        <v/>
      </c>
      <c r="N463" s="8">
        <f>SUMIFS(Daily_Merchant!$C$2:$C$444,Daily_Merchant!$A$2:$A$444,C463,Daily_Merchant!$B$2:$B$444,L463)</f>
        <v/>
      </c>
      <c r="O463" s="2">
        <f>IF(AND(N463&gt;5000,K463&lt;&gt;"East"),"High-Value Merchant Day","")</f>
        <v/>
      </c>
    </row>
    <row r="464">
      <c r="A464" s="2" t="inlineStr">
        <is>
          <t>TXN100462</t>
        </is>
      </c>
      <c r="B464" s="2" t="n">
        <v>112</v>
      </c>
      <c r="C464" s="2" t="n">
        <v>33</v>
      </c>
      <c r="D464" s="12" t="n">
        <v>46045.16666666666</v>
      </c>
      <c r="E464" s="8" t="n">
        <v>49</v>
      </c>
      <c r="F464" s="2" t="inlineStr">
        <is>
          <t>Netbanking</t>
        </is>
      </c>
      <c r="G464" s="2" t="inlineStr">
        <is>
          <t>captured</t>
        </is>
      </c>
      <c r="H464" s="2" t="n">
        <v>58</v>
      </c>
      <c r="I464" s="2">
        <f>IFERROR(VLOOKUP(C464,Merchants!$A$2:$D$41,2,FALSE),"Merchant not found")</f>
        <v/>
      </c>
      <c r="J464" s="2">
        <f>IFERROR(VLOOKUP(C464,Merchants!$A$2:$D$41,3,FALSE),"Merchant not found")</f>
        <v/>
      </c>
      <c r="K464" s="2">
        <f>IFERROR(VLOOKUP(C464,Merchants!$A$2:$D$41,4,FALSE),"Merchant not found")</f>
        <v/>
      </c>
      <c r="L464" s="7">
        <f>DATE(YEAR(D464),MONTH(D464),DAY(D464))</f>
        <v/>
      </c>
      <c r="M464" s="5">
        <f>IFERROR(HLOOKUP(F464,Fee_Tiers!$B$1:$E$2,2,FALSE),"Fee tier not found")</f>
        <v/>
      </c>
      <c r="N464" s="8">
        <f>SUMIFS(Daily_Merchant!$C$2:$C$444,Daily_Merchant!$A$2:$A$444,C464,Daily_Merchant!$B$2:$B$444,L464)</f>
        <v/>
      </c>
      <c r="O464" s="2">
        <f>IF(AND(N464&gt;5000,K464&lt;&gt;"East"),"High-Value Merchant Day","")</f>
        <v/>
      </c>
    </row>
    <row r="465">
      <c r="A465" s="2" t="inlineStr">
        <is>
          <t>TXN100463</t>
        </is>
      </c>
      <c r="B465" s="2" t="n">
        <v>327</v>
      </c>
      <c r="C465" s="2" t="n">
        <v>40</v>
      </c>
      <c r="D465" s="12" t="n">
        <v>46034.06875</v>
      </c>
      <c r="E465" s="8" t="n">
        <v>99</v>
      </c>
      <c r="F465" s="2" t="inlineStr">
        <is>
          <t>UPI</t>
        </is>
      </c>
      <c r="G465" s="2" t="inlineStr">
        <is>
          <t>captured</t>
        </is>
      </c>
      <c r="H465" s="2" t="n">
        <v>61</v>
      </c>
      <c r="I465" s="2">
        <f>IFERROR(VLOOKUP(C465,Merchants!$A$2:$D$41,2,FALSE),"Merchant not found")</f>
        <v/>
      </c>
      <c r="J465" s="2">
        <f>IFERROR(VLOOKUP(C465,Merchants!$A$2:$D$41,3,FALSE),"Merchant not found")</f>
        <v/>
      </c>
      <c r="K465" s="2">
        <f>IFERROR(VLOOKUP(C465,Merchants!$A$2:$D$41,4,FALSE),"Merchant not found")</f>
        <v/>
      </c>
      <c r="L465" s="7">
        <f>DATE(YEAR(D465),MONTH(D465),DAY(D465))</f>
        <v/>
      </c>
      <c r="M465" s="5">
        <f>IFERROR(HLOOKUP(F465,Fee_Tiers!$B$1:$E$2,2,FALSE),"Fee tier not found")</f>
        <v/>
      </c>
      <c r="N465" s="8">
        <f>SUMIFS(Daily_Merchant!$C$2:$C$444,Daily_Merchant!$A$2:$A$444,C465,Daily_Merchant!$B$2:$B$444,L465)</f>
        <v/>
      </c>
      <c r="O465" s="2">
        <f>IF(AND(N465&gt;5000,K465&lt;&gt;"East"),"High-Value Merchant Day","")</f>
        <v/>
      </c>
    </row>
    <row r="466">
      <c r="A466" s="2" t="inlineStr">
        <is>
          <t>TXN100464</t>
        </is>
      </c>
      <c r="B466" s="2" t="n">
        <v>4</v>
      </c>
      <c r="C466" s="2" t="n">
        <v>35</v>
      </c>
      <c r="D466" s="12" t="n">
        <v>46044.62569444445</v>
      </c>
      <c r="E466" s="8" t="n">
        <v>299</v>
      </c>
      <c r="F466" s="2" t="inlineStr">
        <is>
          <t>UPI</t>
        </is>
      </c>
      <c r="G466" s="2" t="inlineStr">
        <is>
          <t>captured</t>
        </is>
      </c>
      <c r="H466" s="2" t="n">
        <v>70</v>
      </c>
      <c r="I466" s="2">
        <f>IFERROR(VLOOKUP(C466,Merchants!$A$2:$D$41,2,FALSE),"Merchant not found")</f>
        <v/>
      </c>
      <c r="J466" s="2">
        <f>IFERROR(VLOOKUP(C466,Merchants!$A$2:$D$41,3,FALSE),"Merchant not found")</f>
        <v/>
      </c>
      <c r="K466" s="2">
        <f>IFERROR(VLOOKUP(C466,Merchants!$A$2:$D$41,4,FALSE),"Merchant not found")</f>
        <v/>
      </c>
      <c r="L466" s="7">
        <f>DATE(YEAR(D466),MONTH(D466),DAY(D466))</f>
        <v/>
      </c>
      <c r="M466" s="5">
        <f>IFERROR(HLOOKUP(F466,Fee_Tiers!$B$1:$E$2,2,FALSE),"Fee tier not found")</f>
        <v/>
      </c>
      <c r="N466" s="8">
        <f>SUMIFS(Daily_Merchant!$C$2:$C$444,Daily_Merchant!$A$2:$A$444,C466,Daily_Merchant!$B$2:$B$444,L466)</f>
        <v/>
      </c>
      <c r="O466" s="2">
        <f>IF(AND(N466&gt;5000,K466&lt;&gt;"East"),"High-Value Merchant Day","")</f>
        <v/>
      </c>
    </row>
    <row r="467">
      <c r="A467" s="2" t="inlineStr">
        <is>
          <t>TXN100465</t>
        </is>
      </c>
      <c r="B467" s="2" t="n">
        <v>272</v>
      </c>
      <c r="C467" s="2" t="n">
        <v>18</v>
      </c>
      <c r="D467" s="12" t="n">
        <v>46036.00069444445</v>
      </c>
      <c r="E467" s="8" t="n">
        <v>149</v>
      </c>
      <c r="F467" s="2" t="inlineStr">
        <is>
          <t>UPI</t>
        </is>
      </c>
      <c r="G467" s="2" t="inlineStr">
        <is>
          <t>captured</t>
        </is>
      </c>
      <c r="H467" s="2" t="n">
        <v>68</v>
      </c>
      <c r="I467" s="2">
        <f>IFERROR(VLOOKUP(C467,Merchants!$A$2:$D$41,2,FALSE),"Merchant not found")</f>
        <v/>
      </c>
      <c r="J467" s="2">
        <f>IFERROR(VLOOKUP(C467,Merchants!$A$2:$D$41,3,FALSE),"Merchant not found")</f>
        <v/>
      </c>
      <c r="K467" s="2">
        <f>IFERROR(VLOOKUP(C467,Merchants!$A$2:$D$41,4,FALSE),"Merchant not found")</f>
        <v/>
      </c>
      <c r="L467" s="7">
        <f>DATE(YEAR(D467),MONTH(D467),DAY(D467))</f>
        <v/>
      </c>
      <c r="M467" s="5">
        <f>IFERROR(HLOOKUP(F467,Fee_Tiers!$B$1:$E$2,2,FALSE),"Fee tier not found")</f>
        <v/>
      </c>
      <c r="N467" s="8">
        <f>SUMIFS(Daily_Merchant!$C$2:$C$444,Daily_Merchant!$A$2:$A$444,C467,Daily_Merchant!$B$2:$B$444,L467)</f>
        <v/>
      </c>
      <c r="O467" s="2">
        <f>IF(AND(N467&gt;5000,K467&lt;&gt;"East"),"High-Value Merchant Day","")</f>
        <v/>
      </c>
    </row>
    <row r="468">
      <c r="A468" s="2" t="inlineStr">
        <is>
          <t>TXN100466</t>
        </is>
      </c>
      <c r="B468" s="2" t="n">
        <v>346</v>
      </c>
      <c r="C468" s="2" t="n">
        <v>28</v>
      </c>
      <c r="D468" s="12" t="n">
        <v>46032.02222222222</v>
      </c>
      <c r="E468" s="8" t="n">
        <v>499</v>
      </c>
      <c r="F468" s="2" t="inlineStr">
        <is>
          <t>UPI</t>
        </is>
      </c>
      <c r="G468" s="2" t="inlineStr">
        <is>
          <t>captured</t>
        </is>
      </c>
      <c r="H468" s="2" t="n">
        <v>22</v>
      </c>
      <c r="I468" s="2">
        <f>IFERROR(VLOOKUP(C468,Merchants!$A$2:$D$41,2,FALSE),"Merchant not found")</f>
        <v/>
      </c>
      <c r="J468" s="2">
        <f>IFERROR(VLOOKUP(C468,Merchants!$A$2:$D$41,3,FALSE),"Merchant not found")</f>
        <v/>
      </c>
      <c r="K468" s="2">
        <f>IFERROR(VLOOKUP(C468,Merchants!$A$2:$D$41,4,FALSE),"Merchant not found")</f>
        <v/>
      </c>
      <c r="L468" s="7">
        <f>DATE(YEAR(D468),MONTH(D468),DAY(D468))</f>
        <v/>
      </c>
      <c r="M468" s="5">
        <f>IFERROR(HLOOKUP(F468,Fee_Tiers!$B$1:$E$2,2,FALSE),"Fee tier not found")</f>
        <v/>
      </c>
      <c r="N468" s="8">
        <f>SUMIFS(Daily_Merchant!$C$2:$C$444,Daily_Merchant!$A$2:$A$444,C468,Daily_Merchant!$B$2:$B$444,L468)</f>
        <v/>
      </c>
      <c r="O468" s="2">
        <f>IF(AND(N468&gt;5000,K468&lt;&gt;"East"),"High-Value Merchant Day","")</f>
        <v/>
      </c>
    </row>
    <row r="469">
      <c r="A469" s="2" t="inlineStr">
        <is>
          <t>TXN100467</t>
        </is>
      </c>
      <c r="B469" s="2" t="n">
        <v>77</v>
      </c>
      <c r="C469" s="2" t="n">
        <v>16</v>
      </c>
      <c r="D469" s="12" t="n">
        <v>46026.14791666667</v>
      </c>
      <c r="E469" s="8" t="n">
        <v>49</v>
      </c>
      <c r="F469" s="2" t="inlineStr">
        <is>
          <t>Wallet</t>
        </is>
      </c>
      <c r="G469" s="2" t="inlineStr">
        <is>
          <t>captured</t>
        </is>
      </c>
      <c r="H469" s="2" t="n">
        <v>24</v>
      </c>
      <c r="I469" s="2">
        <f>IFERROR(VLOOKUP(C469,Merchants!$A$2:$D$41,2,FALSE),"Merchant not found")</f>
        <v/>
      </c>
      <c r="J469" s="2">
        <f>IFERROR(VLOOKUP(C469,Merchants!$A$2:$D$41,3,FALSE),"Merchant not found")</f>
        <v/>
      </c>
      <c r="K469" s="2">
        <f>IFERROR(VLOOKUP(C469,Merchants!$A$2:$D$41,4,FALSE),"Merchant not found")</f>
        <v/>
      </c>
      <c r="L469" s="7">
        <f>DATE(YEAR(D469),MONTH(D469),DAY(D469))</f>
        <v/>
      </c>
      <c r="M469" s="5">
        <f>IFERROR(HLOOKUP(F469,Fee_Tiers!$B$1:$E$2,2,FALSE),"Fee tier not found")</f>
        <v/>
      </c>
      <c r="N469" s="8">
        <f>SUMIFS(Daily_Merchant!$C$2:$C$444,Daily_Merchant!$A$2:$A$444,C469,Daily_Merchant!$B$2:$B$444,L469)</f>
        <v/>
      </c>
      <c r="O469" s="2">
        <f>IF(AND(N469&gt;5000,K469&lt;&gt;"East"),"High-Value Merchant Day","")</f>
        <v/>
      </c>
    </row>
    <row r="470">
      <c r="A470" s="2" t="inlineStr">
        <is>
          <t>TXN100468</t>
        </is>
      </c>
      <c r="B470" s="2" t="n">
        <v>182</v>
      </c>
      <c r="C470" s="2" t="n">
        <v>18</v>
      </c>
      <c r="D470" s="12" t="n">
        <v>46042.67777777778</v>
      </c>
      <c r="E470" s="8" t="n">
        <v>149</v>
      </c>
      <c r="F470" s="2" t="inlineStr">
        <is>
          <t>Card</t>
        </is>
      </c>
      <c r="G470" s="2" t="inlineStr">
        <is>
          <t>captured</t>
        </is>
      </c>
      <c r="H470" s="2" t="n">
        <v>50</v>
      </c>
      <c r="I470" s="2">
        <f>IFERROR(VLOOKUP(C470,Merchants!$A$2:$D$41,2,FALSE),"Merchant not found")</f>
        <v/>
      </c>
      <c r="J470" s="2">
        <f>IFERROR(VLOOKUP(C470,Merchants!$A$2:$D$41,3,FALSE),"Merchant not found")</f>
        <v/>
      </c>
      <c r="K470" s="2">
        <f>IFERROR(VLOOKUP(C470,Merchants!$A$2:$D$41,4,FALSE),"Merchant not found")</f>
        <v/>
      </c>
      <c r="L470" s="7">
        <f>DATE(YEAR(D470),MONTH(D470),DAY(D470))</f>
        <v/>
      </c>
      <c r="M470" s="5">
        <f>IFERROR(HLOOKUP(F470,Fee_Tiers!$B$1:$E$2,2,FALSE),"Fee tier not found")</f>
        <v/>
      </c>
      <c r="N470" s="8">
        <f>SUMIFS(Daily_Merchant!$C$2:$C$444,Daily_Merchant!$A$2:$A$444,C470,Daily_Merchant!$B$2:$B$444,L470)</f>
        <v/>
      </c>
      <c r="O470" s="2">
        <f>IF(AND(N470&gt;5000,K470&lt;&gt;"East"),"High-Value Merchant Day","")</f>
        <v/>
      </c>
    </row>
    <row r="471">
      <c r="A471" s="2" t="inlineStr">
        <is>
          <t>TXN100469</t>
        </is>
      </c>
      <c r="B471" s="2" t="n">
        <v>236</v>
      </c>
      <c r="C471" s="2" t="n">
        <v>37</v>
      </c>
      <c r="D471" s="12" t="n">
        <v>46025.47569444445</v>
      </c>
      <c r="E471" s="8" t="n">
        <v>299</v>
      </c>
      <c r="F471" s="2" t="inlineStr">
        <is>
          <t>Card</t>
        </is>
      </c>
      <c r="G471" s="2" t="inlineStr">
        <is>
          <t>captured</t>
        </is>
      </c>
      <c r="H471" s="2" t="n">
        <v>31</v>
      </c>
      <c r="I471" s="2">
        <f>IFERROR(VLOOKUP(C471,Merchants!$A$2:$D$41,2,FALSE),"Merchant not found")</f>
        <v/>
      </c>
      <c r="J471" s="2">
        <f>IFERROR(VLOOKUP(C471,Merchants!$A$2:$D$41,3,FALSE),"Merchant not found")</f>
        <v/>
      </c>
      <c r="K471" s="2">
        <f>IFERROR(VLOOKUP(C471,Merchants!$A$2:$D$41,4,FALSE),"Merchant not found")</f>
        <v/>
      </c>
      <c r="L471" s="7">
        <f>DATE(YEAR(D471),MONTH(D471),DAY(D471))</f>
        <v/>
      </c>
      <c r="M471" s="5">
        <f>IFERROR(HLOOKUP(F471,Fee_Tiers!$B$1:$E$2,2,FALSE),"Fee tier not found")</f>
        <v/>
      </c>
      <c r="N471" s="8">
        <f>SUMIFS(Daily_Merchant!$C$2:$C$444,Daily_Merchant!$A$2:$A$444,C471,Daily_Merchant!$B$2:$B$444,L471)</f>
        <v/>
      </c>
      <c r="O471" s="2">
        <f>IF(AND(N471&gt;5000,K471&lt;&gt;"East"),"High-Value Merchant Day","")</f>
        <v/>
      </c>
    </row>
    <row r="472">
      <c r="A472" s="2" t="inlineStr">
        <is>
          <t>TXN100470</t>
        </is>
      </c>
      <c r="B472" s="2" t="n">
        <v>42</v>
      </c>
      <c r="C472" s="2" t="n">
        <v>3</v>
      </c>
      <c r="D472" s="12" t="n">
        <v>46045.30486111111</v>
      </c>
      <c r="E472" s="8" t="n">
        <v>49</v>
      </c>
      <c r="F472" s="2" t="inlineStr">
        <is>
          <t>UPI</t>
        </is>
      </c>
      <c r="G472" s="2" t="inlineStr">
        <is>
          <t>captured</t>
        </is>
      </c>
      <c r="H472" s="2" t="n">
        <v>11</v>
      </c>
      <c r="I472" s="2">
        <f>IFERROR(VLOOKUP(C472,Merchants!$A$2:$D$41,2,FALSE),"Merchant not found")</f>
        <v/>
      </c>
      <c r="J472" s="2">
        <f>IFERROR(VLOOKUP(C472,Merchants!$A$2:$D$41,3,FALSE),"Merchant not found")</f>
        <v/>
      </c>
      <c r="K472" s="2">
        <f>IFERROR(VLOOKUP(C472,Merchants!$A$2:$D$41,4,FALSE),"Merchant not found")</f>
        <v/>
      </c>
      <c r="L472" s="7">
        <f>DATE(YEAR(D472),MONTH(D472),DAY(D472))</f>
        <v/>
      </c>
      <c r="M472" s="5">
        <f>IFERROR(HLOOKUP(F472,Fee_Tiers!$B$1:$E$2,2,FALSE),"Fee tier not found")</f>
        <v/>
      </c>
      <c r="N472" s="8">
        <f>SUMIFS(Daily_Merchant!$C$2:$C$444,Daily_Merchant!$A$2:$A$444,C472,Daily_Merchant!$B$2:$B$444,L472)</f>
        <v/>
      </c>
      <c r="O472" s="2">
        <f>IF(AND(N472&gt;5000,K472&lt;&gt;"East"),"High-Value Merchant Day","")</f>
        <v/>
      </c>
    </row>
    <row r="473">
      <c r="A473" s="2" t="inlineStr">
        <is>
          <t>TXN100471</t>
        </is>
      </c>
      <c r="B473" s="2" t="n">
        <v>283</v>
      </c>
      <c r="C473" s="2" t="n">
        <v>31</v>
      </c>
      <c r="D473" s="12" t="n">
        <v>46035.51666666667</v>
      </c>
      <c r="E473" s="8" t="n">
        <v>299</v>
      </c>
      <c r="F473" s="2" t="inlineStr">
        <is>
          <t>Netbanking</t>
        </is>
      </c>
      <c r="G473" s="2" t="inlineStr">
        <is>
          <t>captured</t>
        </is>
      </c>
      <c r="H473" s="2" t="n">
        <v>7</v>
      </c>
      <c r="I473" s="2">
        <f>IFERROR(VLOOKUP(C473,Merchants!$A$2:$D$41,2,FALSE),"Merchant not found")</f>
        <v/>
      </c>
      <c r="J473" s="2">
        <f>IFERROR(VLOOKUP(C473,Merchants!$A$2:$D$41,3,FALSE),"Merchant not found")</f>
        <v/>
      </c>
      <c r="K473" s="2">
        <f>IFERROR(VLOOKUP(C473,Merchants!$A$2:$D$41,4,FALSE),"Merchant not found")</f>
        <v/>
      </c>
      <c r="L473" s="7">
        <f>DATE(YEAR(D473),MONTH(D473),DAY(D473))</f>
        <v/>
      </c>
      <c r="M473" s="5">
        <f>IFERROR(HLOOKUP(F473,Fee_Tiers!$B$1:$E$2,2,FALSE),"Fee tier not found")</f>
        <v/>
      </c>
      <c r="N473" s="8">
        <f>SUMIFS(Daily_Merchant!$C$2:$C$444,Daily_Merchant!$A$2:$A$444,C473,Daily_Merchant!$B$2:$B$444,L473)</f>
        <v/>
      </c>
      <c r="O473" s="2">
        <f>IF(AND(N473&gt;5000,K473&lt;&gt;"East"),"High-Value Merchant Day","")</f>
        <v/>
      </c>
    </row>
    <row r="474">
      <c r="A474" s="2" t="inlineStr">
        <is>
          <t>TXN100472</t>
        </is>
      </c>
      <c r="B474" s="2" t="n">
        <v>88</v>
      </c>
      <c r="C474" s="2" t="n">
        <v>6</v>
      </c>
      <c r="D474" s="12" t="n">
        <v>46043.03055555555</v>
      </c>
      <c r="E474" s="8" t="n">
        <v>49</v>
      </c>
      <c r="F474" s="2" t="inlineStr">
        <is>
          <t>UPI</t>
        </is>
      </c>
      <c r="G474" s="2" t="inlineStr">
        <is>
          <t>captured</t>
        </is>
      </c>
      <c r="H474" s="2" t="n">
        <v>63</v>
      </c>
      <c r="I474" s="2">
        <f>IFERROR(VLOOKUP(C474,Merchants!$A$2:$D$41,2,FALSE),"Merchant not found")</f>
        <v/>
      </c>
      <c r="J474" s="2">
        <f>IFERROR(VLOOKUP(C474,Merchants!$A$2:$D$41,3,FALSE),"Merchant not found")</f>
        <v/>
      </c>
      <c r="K474" s="2">
        <f>IFERROR(VLOOKUP(C474,Merchants!$A$2:$D$41,4,FALSE),"Merchant not found")</f>
        <v/>
      </c>
      <c r="L474" s="7">
        <f>DATE(YEAR(D474),MONTH(D474),DAY(D474))</f>
        <v/>
      </c>
      <c r="M474" s="5">
        <f>IFERROR(HLOOKUP(F474,Fee_Tiers!$B$1:$E$2,2,FALSE),"Fee tier not found")</f>
        <v/>
      </c>
      <c r="N474" s="8">
        <f>SUMIFS(Daily_Merchant!$C$2:$C$444,Daily_Merchant!$A$2:$A$444,C474,Daily_Merchant!$B$2:$B$444,L474)</f>
        <v/>
      </c>
      <c r="O474" s="2">
        <f>IF(AND(N474&gt;5000,K474&lt;&gt;"East"),"High-Value Merchant Day","")</f>
        <v/>
      </c>
    </row>
    <row r="475">
      <c r="A475" s="2" t="inlineStr">
        <is>
          <t>TXN100473</t>
        </is>
      </c>
      <c r="B475" s="2" t="n">
        <v>170</v>
      </c>
      <c r="C475" s="2" t="n">
        <v>37</v>
      </c>
      <c r="D475" s="12" t="n">
        <v>46050.57013888889</v>
      </c>
      <c r="E475" s="8" t="n">
        <v>99</v>
      </c>
      <c r="F475" s="2" t="inlineStr">
        <is>
          <t>UPI</t>
        </is>
      </c>
      <c r="G475" s="2" t="inlineStr">
        <is>
          <t>failed</t>
        </is>
      </c>
      <c r="H475" s="2" t="n">
        <v>12</v>
      </c>
      <c r="I475" s="2">
        <f>IFERROR(VLOOKUP(C475,Merchants!$A$2:$D$41,2,FALSE),"Merchant not found")</f>
        <v/>
      </c>
      <c r="J475" s="2">
        <f>IFERROR(VLOOKUP(C475,Merchants!$A$2:$D$41,3,FALSE),"Merchant not found")</f>
        <v/>
      </c>
      <c r="K475" s="2">
        <f>IFERROR(VLOOKUP(C475,Merchants!$A$2:$D$41,4,FALSE),"Merchant not found")</f>
        <v/>
      </c>
      <c r="L475" s="7">
        <f>DATE(YEAR(D475),MONTH(D475),DAY(D475))</f>
        <v/>
      </c>
      <c r="M475" s="5">
        <f>IFERROR(HLOOKUP(F475,Fee_Tiers!$B$1:$E$2,2,FALSE),"Fee tier not found")</f>
        <v/>
      </c>
      <c r="N475" s="8">
        <f>SUMIFS(Daily_Merchant!$C$2:$C$444,Daily_Merchant!$A$2:$A$444,C475,Daily_Merchant!$B$2:$B$444,L475)</f>
        <v/>
      </c>
      <c r="O475" s="2">
        <f>IF(AND(N475&gt;5000,K475&lt;&gt;"East"),"High-Value Merchant Day","")</f>
        <v/>
      </c>
    </row>
    <row r="476">
      <c r="A476" s="2" t="inlineStr">
        <is>
          <t>TXN100474</t>
        </is>
      </c>
      <c r="B476" s="2" t="n">
        <v>22</v>
      </c>
      <c r="C476" s="2" t="n">
        <v>15</v>
      </c>
      <c r="D476" s="12" t="n">
        <v>46051.70694444444</v>
      </c>
      <c r="E476" s="8" t="n">
        <v>49</v>
      </c>
      <c r="F476" s="2" t="inlineStr">
        <is>
          <t>Netbanking</t>
        </is>
      </c>
      <c r="G476" s="2" t="inlineStr">
        <is>
          <t>captured</t>
        </is>
      </c>
      <c r="H476" s="2" t="n">
        <v>27</v>
      </c>
      <c r="I476" s="2">
        <f>IFERROR(VLOOKUP(C476,Merchants!$A$2:$D$41,2,FALSE),"Merchant not found")</f>
        <v/>
      </c>
      <c r="J476" s="2">
        <f>IFERROR(VLOOKUP(C476,Merchants!$A$2:$D$41,3,FALSE),"Merchant not found")</f>
        <v/>
      </c>
      <c r="K476" s="2">
        <f>IFERROR(VLOOKUP(C476,Merchants!$A$2:$D$41,4,FALSE),"Merchant not found")</f>
        <v/>
      </c>
      <c r="L476" s="7">
        <f>DATE(YEAR(D476),MONTH(D476),DAY(D476))</f>
        <v/>
      </c>
      <c r="M476" s="5">
        <f>IFERROR(HLOOKUP(F476,Fee_Tiers!$B$1:$E$2,2,FALSE),"Fee tier not found")</f>
        <v/>
      </c>
      <c r="N476" s="8">
        <f>SUMIFS(Daily_Merchant!$C$2:$C$444,Daily_Merchant!$A$2:$A$444,C476,Daily_Merchant!$B$2:$B$444,L476)</f>
        <v/>
      </c>
      <c r="O476" s="2">
        <f>IF(AND(N476&gt;5000,K476&lt;&gt;"East"),"High-Value Merchant Day","")</f>
        <v/>
      </c>
    </row>
    <row r="477">
      <c r="A477" s="2" t="inlineStr">
        <is>
          <t>TXN100475</t>
        </is>
      </c>
      <c r="B477" s="2" t="n">
        <v>291</v>
      </c>
      <c r="C477" s="2" t="n">
        <v>31</v>
      </c>
      <c r="D477" s="12" t="n">
        <v>46051.95555555556</v>
      </c>
      <c r="E477" s="8" t="n">
        <v>49</v>
      </c>
      <c r="F477" s="2" t="inlineStr">
        <is>
          <t>Netbanking</t>
        </is>
      </c>
      <c r="G477" s="2" t="inlineStr">
        <is>
          <t>failed</t>
        </is>
      </c>
      <c r="H477" s="2" t="n">
        <v>34</v>
      </c>
      <c r="I477" s="2">
        <f>IFERROR(VLOOKUP(C477,Merchants!$A$2:$D$41,2,FALSE),"Merchant not found")</f>
        <v/>
      </c>
      <c r="J477" s="2">
        <f>IFERROR(VLOOKUP(C477,Merchants!$A$2:$D$41,3,FALSE),"Merchant not found")</f>
        <v/>
      </c>
      <c r="K477" s="2">
        <f>IFERROR(VLOOKUP(C477,Merchants!$A$2:$D$41,4,FALSE),"Merchant not found")</f>
        <v/>
      </c>
      <c r="L477" s="7">
        <f>DATE(YEAR(D477),MONTH(D477),DAY(D477))</f>
        <v/>
      </c>
      <c r="M477" s="5">
        <f>IFERROR(HLOOKUP(F477,Fee_Tiers!$B$1:$E$2,2,FALSE),"Fee tier not found")</f>
        <v/>
      </c>
      <c r="N477" s="8">
        <f>SUMIFS(Daily_Merchant!$C$2:$C$444,Daily_Merchant!$A$2:$A$444,C477,Daily_Merchant!$B$2:$B$444,L477)</f>
        <v/>
      </c>
      <c r="O477" s="2">
        <f>IF(AND(N477&gt;5000,K477&lt;&gt;"East"),"High-Value Merchant Day","")</f>
        <v/>
      </c>
    </row>
    <row r="478">
      <c r="A478" s="2" t="inlineStr">
        <is>
          <t>TXN100476</t>
        </is>
      </c>
      <c r="B478" s="2" t="n">
        <v>144</v>
      </c>
      <c r="C478" s="2" t="n">
        <v>35</v>
      </c>
      <c r="D478" s="12" t="n">
        <v>46024.11319444444</v>
      </c>
      <c r="E478" s="8" t="n">
        <v>1499</v>
      </c>
      <c r="F478" s="2" t="inlineStr">
        <is>
          <t>UPI</t>
        </is>
      </c>
      <c r="G478" s="2" t="inlineStr">
        <is>
          <t>captured</t>
        </is>
      </c>
      <c r="H478" s="2" t="n">
        <v>72</v>
      </c>
      <c r="I478" s="2">
        <f>IFERROR(VLOOKUP(C478,Merchants!$A$2:$D$41,2,FALSE),"Merchant not found")</f>
        <v/>
      </c>
      <c r="J478" s="2">
        <f>IFERROR(VLOOKUP(C478,Merchants!$A$2:$D$41,3,FALSE),"Merchant not found")</f>
        <v/>
      </c>
      <c r="K478" s="2">
        <f>IFERROR(VLOOKUP(C478,Merchants!$A$2:$D$41,4,FALSE),"Merchant not found")</f>
        <v/>
      </c>
      <c r="L478" s="7">
        <f>DATE(YEAR(D478),MONTH(D478),DAY(D478))</f>
        <v/>
      </c>
      <c r="M478" s="5">
        <f>IFERROR(HLOOKUP(F478,Fee_Tiers!$B$1:$E$2,2,FALSE),"Fee tier not found")</f>
        <v/>
      </c>
      <c r="N478" s="8">
        <f>SUMIFS(Daily_Merchant!$C$2:$C$444,Daily_Merchant!$A$2:$A$444,C478,Daily_Merchant!$B$2:$B$444,L478)</f>
        <v/>
      </c>
      <c r="O478" s="2">
        <f>IF(AND(N478&gt;5000,K478&lt;&gt;"East"),"High-Value Merchant Day","")</f>
        <v/>
      </c>
    </row>
    <row r="479">
      <c r="A479" s="2" t="inlineStr">
        <is>
          <t>TXN100477</t>
        </is>
      </c>
      <c r="B479" s="2" t="n">
        <v>162</v>
      </c>
      <c r="C479" s="2" t="n">
        <v>2</v>
      </c>
      <c r="D479" s="12" t="n">
        <v>46044.04930555556</v>
      </c>
      <c r="E479" s="8" t="n">
        <v>299</v>
      </c>
      <c r="F479" s="2" t="inlineStr">
        <is>
          <t>Wallet</t>
        </is>
      </c>
      <c r="G479" s="2" t="inlineStr">
        <is>
          <t>captured</t>
        </is>
      </c>
      <c r="H479" s="2" t="n">
        <v>26</v>
      </c>
      <c r="I479" s="2">
        <f>IFERROR(VLOOKUP(C479,Merchants!$A$2:$D$41,2,FALSE),"Merchant not found")</f>
        <v/>
      </c>
      <c r="J479" s="2">
        <f>IFERROR(VLOOKUP(C479,Merchants!$A$2:$D$41,3,FALSE),"Merchant not found")</f>
        <v/>
      </c>
      <c r="K479" s="2">
        <f>IFERROR(VLOOKUP(C479,Merchants!$A$2:$D$41,4,FALSE),"Merchant not found")</f>
        <v/>
      </c>
      <c r="L479" s="7">
        <f>DATE(YEAR(D479),MONTH(D479),DAY(D479))</f>
        <v/>
      </c>
      <c r="M479" s="5">
        <f>IFERROR(HLOOKUP(F479,Fee_Tiers!$B$1:$E$2,2,FALSE),"Fee tier not found")</f>
        <v/>
      </c>
      <c r="N479" s="8">
        <f>SUMIFS(Daily_Merchant!$C$2:$C$444,Daily_Merchant!$A$2:$A$444,C479,Daily_Merchant!$B$2:$B$444,L479)</f>
        <v/>
      </c>
      <c r="O479" s="2">
        <f>IF(AND(N479&gt;5000,K479&lt;&gt;"East"),"High-Value Merchant Day","")</f>
        <v/>
      </c>
    </row>
    <row r="480">
      <c r="A480" s="2" t="inlineStr">
        <is>
          <t>TXN100478</t>
        </is>
      </c>
      <c r="B480" s="2" t="n">
        <v>204</v>
      </c>
      <c r="C480" s="2" t="n">
        <v>5</v>
      </c>
      <c r="D480" s="12" t="n">
        <v>46041.2</v>
      </c>
      <c r="E480" s="8" t="n">
        <v>49</v>
      </c>
      <c r="F480" s="2" t="inlineStr">
        <is>
          <t>UPI</t>
        </is>
      </c>
      <c r="G480" s="2" t="inlineStr">
        <is>
          <t>captured</t>
        </is>
      </c>
      <c r="H480" s="2" t="n">
        <v>38</v>
      </c>
      <c r="I480" s="2">
        <f>IFERROR(VLOOKUP(C480,Merchants!$A$2:$D$41,2,FALSE),"Merchant not found")</f>
        <v/>
      </c>
      <c r="J480" s="2">
        <f>IFERROR(VLOOKUP(C480,Merchants!$A$2:$D$41,3,FALSE),"Merchant not found")</f>
        <v/>
      </c>
      <c r="K480" s="2">
        <f>IFERROR(VLOOKUP(C480,Merchants!$A$2:$D$41,4,FALSE),"Merchant not found")</f>
        <v/>
      </c>
      <c r="L480" s="7">
        <f>DATE(YEAR(D480),MONTH(D480),DAY(D480))</f>
        <v/>
      </c>
      <c r="M480" s="5">
        <f>IFERROR(HLOOKUP(F480,Fee_Tiers!$B$1:$E$2,2,FALSE),"Fee tier not found")</f>
        <v/>
      </c>
      <c r="N480" s="8">
        <f>SUMIFS(Daily_Merchant!$C$2:$C$444,Daily_Merchant!$A$2:$A$444,C480,Daily_Merchant!$B$2:$B$444,L480)</f>
        <v/>
      </c>
      <c r="O480" s="2">
        <f>IF(AND(N480&gt;5000,K480&lt;&gt;"East"),"High-Value Merchant Day","")</f>
        <v/>
      </c>
    </row>
    <row r="481">
      <c r="A481" s="2" t="inlineStr">
        <is>
          <t>TXN100479</t>
        </is>
      </c>
      <c r="B481" s="2" t="n">
        <v>291</v>
      </c>
      <c r="C481" s="2" t="n">
        <v>25</v>
      </c>
      <c r="D481" s="12" t="n">
        <v>46028.76041666666</v>
      </c>
      <c r="E481" s="8" t="n">
        <v>99</v>
      </c>
      <c r="F481" s="2" t="inlineStr">
        <is>
          <t>Wallet</t>
        </is>
      </c>
      <c r="G481" s="2" t="inlineStr">
        <is>
          <t>captured</t>
        </is>
      </c>
      <c r="H481" s="2" t="n">
        <v>86</v>
      </c>
      <c r="I481" s="2">
        <f>IFERROR(VLOOKUP(C481,Merchants!$A$2:$D$41,2,FALSE),"Merchant not found")</f>
        <v/>
      </c>
      <c r="J481" s="2">
        <f>IFERROR(VLOOKUP(C481,Merchants!$A$2:$D$41,3,FALSE),"Merchant not found")</f>
        <v/>
      </c>
      <c r="K481" s="2">
        <f>IFERROR(VLOOKUP(C481,Merchants!$A$2:$D$41,4,FALSE),"Merchant not found")</f>
        <v/>
      </c>
      <c r="L481" s="7">
        <f>DATE(YEAR(D481),MONTH(D481),DAY(D481))</f>
        <v/>
      </c>
      <c r="M481" s="5">
        <f>IFERROR(HLOOKUP(F481,Fee_Tiers!$B$1:$E$2,2,FALSE),"Fee tier not found")</f>
        <v/>
      </c>
      <c r="N481" s="8">
        <f>SUMIFS(Daily_Merchant!$C$2:$C$444,Daily_Merchant!$A$2:$A$444,C481,Daily_Merchant!$B$2:$B$444,L481)</f>
        <v/>
      </c>
      <c r="O481" s="2">
        <f>IF(AND(N481&gt;5000,K481&lt;&gt;"East"),"High-Value Merchant Day","")</f>
        <v/>
      </c>
    </row>
    <row r="482">
      <c r="A482" s="2" t="inlineStr">
        <is>
          <t>TXN100480</t>
        </is>
      </c>
      <c r="B482" s="2" t="n">
        <v>197</v>
      </c>
      <c r="C482" s="2" t="n">
        <v>9</v>
      </c>
      <c r="D482" s="12" t="n">
        <v>46051.72291666667</v>
      </c>
      <c r="E482" s="8" t="n">
        <v>49</v>
      </c>
      <c r="F482" s="2" t="inlineStr">
        <is>
          <t>Wallet</t>
        </is>
      </c>
      <c r="G482" s="2" t="inlineStr">
        <is>
          <t>failed</t>
        </is>
      </c>
      <c r="H482" s="2" t="n">
        <v>88</v>
      </c>
      <c r="I482" s="2">
        <f>IFERROR(VLOOKUP(C482,Merchants!$A$2:$D$41,2,FALSE),"Merchant not found")</f>
        <v/>
      </c>
      <c r="J482" s="2">
        <f>IFERROR(VLOOKUP(C482,Merchants!$A$2:$D$41,3,FALSE),"Merchant not found")</f>
        <v/>
      </c>
      <c r="K482" s="2">
        <f>IFERROR(VLOOKUP(C482,Merchants!$A$2:$D$41,4,FALSE),"Merchant not found")</f>
        <v/>
      </c>
      <c r="L482" s="7">
        <f>DATE(YEAR(D482),MONTH(D482),DAY(D482))</f>
        <v/>
      </c>
      <c r="M482" s="5">
        <f>IFERROR(HLOOKUP(F482,Fee_Tiers!$B$1:$E$2,2,FALSE),"Fee tier not found")</f>
        <v/>
      </c>
      <c r="N482" s="8">
        <f>SUMIFS(Daily_Merchant!$C$2:$C$444,Daily_Merchant!$A$2:$A$444,C482,Daily_Merchant!$B$2:$B$444,L482)</f>
        <v/>
      </c>
      <c r="O482" s="2">
        <f>IF(AND(N482&gt;5000,K482&lt;&gt;"East"),"High-Value Merchant Day","")</f>
        <v/>
      </c>
    </row>
    <row r="483">
      <c r="A483" s="2" t="inlineStr">
        <is>
          <t>TXN100481</t>
        </is>
      </c>
      <c r="B483" s="2" t="n">
        <v>178</v>
      </c>
      <c r="C483" s="2" t="n">
        <v>4</v>
      </c>
      <c r="D483" s="12" t="n">
        <v>46046.10555555556</v>
      </c>
      <c r="E483" s="8" t="n">
        <v>1499</v>
      </c>
      <c r="F483" s="2" t="inlineStr">
        <is>
          <t>UPI</t>
        </is>
      </c>
      <c r="G483" s="2" t="inlineStr">
        <is>
          <t>captured</t>
        </is>
      </c>
      <c r="H483" s="2" t="n">
        <v>12</v>
      </c>
      <c r="I483" s="2">
        <f>IFERROR(VLOOKUP(C483,Merchants!$A$2:$D$41,2,FALSE),"Merchant not found")</f>
        <v/>
      </c>
      <c r="J483" s="2">
        <f>IFERROR(VLOOKUP(C483,Merchants!$A$2:$D$41,3,FALSE),"Merchant not found")</f>
        <v/>
      </c>
      <c r="K483" s="2">
        <f>IFERROR(VLOOKUP(C483,Merchants!$A$2:$D$41,4,FALSE),"Merchant not found")</f>
        <v/>
      </c>
      <c r="L483" s="7">
        <f>DATE(YEAR(D483),MONTH(D483),DAY(D483))</f>
        <v/>
      </c>
      <c r="M483" s="5">
        <f>IFERROR(HLOOKUP(F483,Fee_Tiers!$B$1:$E$2,2,FALSE),"Fee tier not found")</f>
        <v/>
      </c>
      <c r="N483" s="8">
        <f>SUMIFS(Daily_Merchant!$C$2:$C$444,Daily_Merchant!$A$2:$A$444,C483,Daily_Merchant!$B$2:$B$444,L483)</f>
        <v/>
      </c>
      <c r="O483" s="2">
        <f>IF(AND(N483&gt;5000,K483&lt;&gt;"East"),"High-Value Merchant Day","")</f>
        <v/>
      </c>
    </row>
    <row r="484">
      <c r="A484" s="2" t="inlineStr">
        <is>
          <t>TXN100482</t>
        </is>
      </c>
      <c r="B484" s="2" t="n">
        <v>39</v>
      </c>
      <c r="C484" s="2" t="n">
        <v>22</v>
      </c>
      <c r="D484" s="12" t="n">
        <v>46036.32847222222</v>
      </c>
      <c r="E484" s="8" t="n">
        <v>799</v>
      </c>
      <c r="F484" s="2" t="inlineStr">
        <is>
          <t>Netbanking</t>
        </is>
      </c>
      <c r="G484" s="2" t="inlineStr">
        <is>
          <t>captured</t>
        </is>
      </c>
      <c r="H484" s="2" t="n">
        <v>77</v>
      </c>
      <c r="I484" s="2">
        <f>IFERROR(VLOOKUP(C484,Merchants!$A$2:$D$41,2,FALSE),"Merchant not found")</f>
        <v/>
      </c>
      <c r="J484" s="2">
        <f>IFERROR(VLOOKUP(C484,Merchants!$A$2:$D$41,3,FALSE),"Merchant not found")</f>
        <v/>
      </c>
      <c r="K484" s="2">
        <f>IFERROR(VLOOKUP(C484,Merchants!$A$2:$D$41,4,FALSE),"Merchant not found")</f>
        <v/>
      </c>
      <c r="L484" s="7">
        <f>DATE(YEAR(D484),MONTH(D484),DAY(D484))</f>
        <v/>
      </c>
      <c r="M484" s="5">
        <f>IFERROR(HLOOKUP(F484,Fee_Tiers!$B$1:$E$2,2,FALSE),"Fee tier not found")</f>
        <v/>
      </c>
      <c r="N484" s="8">
        <f>SUMIFS(Daily_Merchant!$C$2:$C$444,Daily_Merchant!$A$2:$A$444,C484,Daily_Merchant!$B$2:$B$444,L484)</f>
        <v/>
      </c>
      <c r="O484" s="2">
        <f>IF(AND(N484&gt;5000,K484&lt;&gt;"East"),"High-Value Merchant Day","")</f>
        <v/>
      </c>
    </row>
    <row r="485">
      <c r="A485" s="2" t="inlineStr">
        <is>
          <t>TXN100483</t>
        </is>
      </c>
      <c r="B485" s="2" t="n">
        <v>204</v>
      </c>
      <c r="C485" s="2" t="n">
        <v>21</v>
      </c>
      <c r="D485" s="12" t="n">
        <v>46047.81805555556</v>
      </c>
      <c r="E485" s="8" t="n">
        <v>299</v>
      </c>
      <c r="F485" s="2" t="inlineStr">
        <is>
          <t>Wallet</t>
        </is>
      </c>
      <c r="G485" s="2" t="inlineStr">
        <is>
          <t>captured</t>
        </is>
      </c>
      <c r="H485" s="2" t="n">
        <v>3</v>
      </c>
      <c r="I485" s="2">
        <f>IFERROR(VLOOKUP(C485,Merchants!$A$2:$D$41,2,FALSE),"Merchant not found")</f>
        <v/>
      </c>
      <c r="J485" s="2">
        <f>IFERROR(VLOOKUP(C485,Merchants!$A$2:$D$41,3,FALSE),"Merchant not found")</f>
        <v/>
      </c>
      <c r="K485" s="2">
        <f>IFERROR(VLOOKUP(C485,Merchants!$A$2:$D$41,4,FALSE),"Merchant not found")</f>
        <v/>
      </c>
      <c r="L485" s="7">
        <f>DATE(YEAR(D485),MONTH(D485),DAY(D485))</f>
        <v/>
      </c>
      <c r="M485" s="5">
        <f>IFERROR(HLOOKUP(F485,Fee_Tiers!$B$1:$E$2,2,FALSE),"Fee tier not found")</f>
        <v/>
      </c>
      <c r="N485" s="8">
        <f>SUMIFS(Daily_Merchant!$C$2:$C$444,Daily_Merchant!$A$2:$A$444,C485,Daily_Merchant!$B$2:$B$444,L485)</f>
        <v/>
      </c>
      <c r="O485" s="2">
        <f>IF(AND(N485&gt;5000,K485&lt;&gt;"East"),"High-Value Merchant Day","")</f>
        <v/>
      </c>
    </row>
    <row r="486">
      <c r="A486" s="2" t="inlineStr">
        <is>
          <t>TXN100484</t>
        </is>
      </c>
      <c r="B486" s="2" t="n">
        <v>231</v>
      </c>
      <c r="C486" s="2" t="n">
        <v>32</v>
      </c>
      <c r="D486" s="12" t="n">
        <v>46043.36805555555</v>
      </c>
      <c r="E486" s="8" t="n">
        <v>299</v>
      </c>
      <c r="F486" s="2" t="inlineStr">
        <is>
          <t>UPI</t>
        </is>
      </c>
      <c r="G486" s="2" t="inlineStr">
        <is>
          <t>captured</t>
        </is>
      </c>
      <c r="H486" s="2" t="n">
        <v>29</v>
      </c>
      <c r="I486" s="2">
        <f>IFERROR(VLOOKUP(C486,Merchants!$A$2:$D$41,2,FALSE),"Merchant not found")</f>
        <v/>
      </c>
      <c r="J486" s="2">
        <f>IFERROR(VLOOKUP(C486,Merchants!$A$2:$D$41,3,FALSE),"Merchant not found")</f>
        <v/>
      </c>
      <c r="K486" s="2">
        <f>IFERROR(VLOOKUP(C486,Merchants!$A$2:$D$41,4,FALSE),"Merchant not found")</f>
        <v/>
      </c>
      <c r="L486" s="7">
        <f>DATE(YEAR(D486),MONTH(D486),DAY(D486))</f>
        <v/>
      </c>
      <c r="M486" s="5">
        <f>IFERROR(HLOOKUP(F486,Fee_Tiers!$B$1:$E$2,2,FALSE),"Fee tier not found")</f>
        <v/>
      </c>
      <c r="N486" s="8">
        <f>SUMIFS(Daily_Merchant!$C$2:$C$444,Daily_Merchant!$A$2:$A$444,C486,Daily_Merchant!$B$2:$B$444,L486)</f>
        <v/>
      </c>
      <c r="O486" s="2">
        <f>IF(AND(N486&gt;5000,K486&lt;&gt;"East"),"High-Value Merchant Day","")</f>
        <v/>
      </c>
    </row>
    <row r="487">
      <c r="A487" s="2" t="inlineStr">
        <is>
          <t>TXN100485</t>
        </is>
      </c>
      <c r="B487" s="2" t="n">
        <v>222</v>
      </c>
      <c r="C487" s="2" t="n">
        <v>12</v>
      </c>
      <c r="D487" s="12" t="n">
        <v>46034.725</v>
      </c>
      <c r="E487" s="8" t="n">
        <v>499</v>
      </c>
      <c r="F487" s="2" t="inlineStr">
        <is>
          <t>Wallet</t>
        </is>
      </c>
      <c r="G487" s="2" t="inlineStr">
        <is>
          <t>failed</t>
        </is>
      </c>
      <c r="H487" s="2" t="n">
        <v>87</v>
      </c>
      <c r="I487" s="2">
        <f>IFERROR(VLOOKUP(C487,Merchants!$A$2:$D$41,2,FALSE),"Merchant not found")</f>
        <v/>
      </c>
      <c r="J487" s="2">
        <f>IFERROR(VLOOKUP(C487,Merchants!$A$2:$D$41,3,FALSE),"Merchant not found")</f>
        <v/>
      </c>
      <c r="K487" s="2">
        <f>IFERROR(VLOOKUP(C487,Merchants!$A$2:$D$41,4,FALSE),"Merchant not found")</f>
        <v/>
      </c>
      <c r="L487" s="7">
        <f>DATE(YEAR(D487),MONTH(D487),DAY(D487))</f>
        <v/>
      </c>
      <c r="M487" s="5">
        <f>IFERROR(HLOOKUP(F487,Fee_Tiers!$B$1:$E$2,2,FALSE),"Fee tier not found")</f>
        <v/>
      </c>
      <c r="N487" s="8">
        <f>SUMIFS(Daily_Merchant!$C$2:$C$444,Daily_Merchant!$A$2:$A$444,C487,Daily_Merchant!$B$2:$B$444,L487)</f>
        <v/>
      </c>
      <c r="O487" s="2">
        <f>IF(AND(N487&gt;5000,K487&lt;&gt;"East"),"High-Value Merchant Day","")</f>
        <v/>
      </c>
    </row>
    <row r="488">
      <c r="A488" s="2" t="inlineStr">
        <is>
          <t>TXN100486</t>
        </is>
      </c>
      <c r="B488" s="2" t="n">
        <v>44</v>
      </c>
      <c r="C488" s="2" t="n">
        <v>40</v>
      </c>
      <c r="D488" s="12" t="n">
        <v>46041.89166666667</v>
      </c>
      <c r="E488" s="8" t="n">
        <v>499</v>
      </c>
      <c r="F488" s="2" t="inlineStr">
        <is>
          <t>UPI</t>
        </is>
      </c>
      <c r="G488" s="2" t="inlineStr">
        <is>
          <t>captured</t>
        </is>
      </c>
      <c r="H488" s="2" t="n">
        <v>37</v>
      </c>
      <c r="I488" s="2">
        <f>IFERROR(VLOOKUP(C488,Merchants!$A$2:$D$41,2,FALSE),"Merchant not found")</f>
        <v/>
      </c>
      <c r="J488" s="2">
        <f>IFERROR(VLOOKUP(C488,Merchants!$A$2:$D$41,3,FALSE),"Merchant not found")</f>
        <v/>
      </c>
      <c r="K488" s="2">
        <f>IFERROR(VLOOKUP(C488,Merchants!$A$2:$D$41,4,FALSE),"Merchant not found")</f>
        <v/>
      </c>
      <c r="L488" s="7">
        <f>DATE(YEAR(D488),MONTH(D488),DAY(D488))</f>
        <v/>
      </c>
      <c r="M488" s="5">
        <f>IFERROR(HLOOKUP(F488,Fee_Tiers!$B$1:$E$2,2,FALSE),"Fee tier not found")</f>
        <v/>
      </c>
      <c r="N488" s="8">
        <f>SUMIFS(Daily_Merchant!$C$2:$C$444,Daily_Merchant!$A$2:$A$444,C488,Daily_Merchant!$B$2:$B$444,L488)</f>
        <v/>
      </c>
      <c r="O488" s="2">
        <f>IF(AND(N488&gt;5000,K488&lt;&gt;"East"),"High-Value Merchant Day","")</f>
        <v/>
      </c>
    </row>
    <row r="489">
      <c r="A489" s="2" t="inlineStr">
        <is>
          <t>TXN100487</t>
        </is>
      </c>
      <c r="B489" s="2" t="n">
        <v>38</v>
      </c>
      <c r="C489" s="2" t="n">
        <v>6</v>
      </c>
      <c r="D489" s="12" t="n">
        <v>46048.32291666666</v>
      </c>
      <c r="E489" s="8" t="n">
        <v>49</v>
      </c>
      <c r="F489" s="2" t="inlineStr">
        <is>
          <t>Wallet</t>
        </is>
      </c>
      <c r="G489" s="2" t="inlineStr">
        <is>
          <t>captured</t>
        </is>
      </c>
      <c r="H489" s="2" t="n">
        <v>34</v>
      </c>
      <c r="I489" s="2">
        <f>IFERROR(VLOOKUP(C489,Merchants!$A$2:$D$41,2,FALSE),"Merchant not found")</f>
        <v/>
      </c>
      <c r="J489" s="2">
        <f>IFERROR(VLOOKUP(C489,Merchants!$A$2:$D$41,3,FALSE),"Merchant not found")</f>
        <v/>
      </c>
      <c r="K489" s="2">
        <f>IFERROR(VLOOKUP(C489,Merchants!$A$2:$D$41,4,FALSE),"Merchant not found")</f>
        <v/>
      </c>
      <c r="L489" s="7">
        <f>DATE(YEAR(D489),MONTH(D489),DAY(D489))</f>
        <v/>
      </c>
      <c r="M489" s="5">
        <f>IFERROR(HLOOKUP(F489,Fee_Tiers!$B$1:$E$2,2,FALSE),"Fee tier not found")</f>
        <v/>
      </c>
      <c r="N489" s="8">
        <f>SUMIFS(Daily_Merchant!$C$2:$C$444,Daily_Merchant!$A$2:$A$444,C489,Daily_Merchant!$B$2:$B$444,L489)</f>
        <v/>
      </c>
      <c r="O489" s="2">
        <f>IF(AND(N489&gt;5000,K489&lt;&gt;"East"),"High-Value Merchant Day","")</f>
        <v/>
      </c>
    </row>
    <row r="490">
      <c r="A490" s="2" t="inlineStr">
        <is>
          <t>TXN100488</t>
        </is>
      </c>
      <c r="B490" s="2" t="n">
        <v>325</v>
      </c>
      <c r="C490" s="2" t="n">
        <v>10</v>
      </c>
      <c r="D490" s="12" t="n">
        <v>46027.53125</v>
      </c>
      <c r="E490" s="8" t="n">
        <v>49</v>
      </c>
      <c r="F490" s="2" t="inlineStr">
        <is>
          <t>Netbanking</t>
        </is>
      </c>
      <c r="G490" s="2" t="inlineStr">
        <is>
          <t>chargeback</t>
        </is>
      </c>
      <c r="H490" s="2" t="n">
        <v>94</v>
      </c>
      <c r="I490" s="2">
        <f>IFERROR(VLOOKUP(C490,Merchants!$A$2:$D$41,2,FALSE),"Merchant not found")</f>
        <v/>
      </c>
      <c r="J490" s="2">
        <f>IFERROR(VLOOKUP(C490,Merchants!$A$2:$D$41,3,FALSE),"Merchant not found")</f>
        <v/>
      </c>
      <c r="K490" s="2">
        <f>IFERROR(VLOOKUP(C490,Merchants!$A$2:$D$41,4,FALSE),"Merchant not found")</f>
        <v/>
      </c>
      <c r="L490" s="7">
        <f>DATE(YEAR(D490),MONTH(D490),DAY(D490))</f>
        <v/>
      </c>
      <c r="M490" s="5">
        <f>IFERROR(HLOOKUP(F490,Fee_Tiers!$B$1:$E$2,2,FALSE),"Fee tier not found")</f>
        <v/>
      </c>
      <c r="N490" s="8">
        <f>SUMIFS(Daily_Merchant!$C$2:$C$444,Daily_Merchant!$A$2:$A$444,C490,Daily_Merchant!$B$2:$B$444,L490)</f>
        <v/>
      </c>
      <c r="O490" s="2">
        <f>IF(AND(N490&gt;5000,K490&lt;&gt;"East"),"High-Value Merchant Day","")</f>
        <v/>
      </c>
    </row>
    <row r="491">
      <c r="A491" s="2" t="inlineStr">
        <is>
          <t>TXN100489</t>
        </is>
      </c>
      <c r="B491" s="2" t="n">
        <v>55</v>
      </c>
      <c r="C491" s="2" t="n">
        <v>6</v>
      </c>
      <c r="D491" s="12" t="n">
        <v>46035.43263888889</v>
      </c>
      <c r="E491" s="8" t="n">
        <v>1499</v>
      </c>
      <c r="F491" s="2" t="inlineStr">
        <is>
          <t>Card</t>
        </is>
      </c>
      <c r="G491" s="2" t="inlineStr">
        <is>
          <t>captured</t>
        </is>
      </c>
      <c r="H491" s="2" t="n">
        <v>0</v>
      </c>
      <c r="I491" s="2">
        <f>IFERROR(VLOOKUP(C491,Merchants!$A$2:$D$41,2,FALSE),"Merchant not found")</f>
        <v/>
      </c>
      <c r="J491" s="2">
        <f>IFERROR(VLOOKUP(C491,Merchants!$A$2:$D$41,3,FALSE),"Merchant not found")</f>
        <v/>
      </c>
      <c r="K491" s="2">
        <f>IFERROR(VLOOKUP(C491,Merchants!$A$2:$D$41,4,FALSE),"Merchant not found")</f>
        <v/>
      </c>
      <c r="L491" s="7">
        <f>DATE(YEAR(D491),MONTH(D491),DAY(D491))</f>
        <v/>
      </c>
      <c r="M491" s="5">
        <f>IFERROR(HLOOKUP(F491,Fee_Tiers!$B$1:$E$2,2,FALSE),"Fee tier not found")</f>
        <v/>
      </c>
      <c r="N491" s="8">
        <f>SUMIFS(Daily_Merchant!$C$2:$C$444,Daily_Merchant!$A$2:$A$444,C491,Daily_Merchant!$B$2:$B$444,L491)</f>
        <v/>
      </c>
      <c r="O491" s="2">
        <f>IF(AND(N491&gt;5000,K491&lt;&gt;"East"),"High-Value Merchant Day","")</f>
        <v/>
      </c>
    </row>
    <row r="492">
      <c r="A492" s="2" t="inlineStr">
        <is>
          <t>TXN100490</t>
        </is>
      </c>
      <c r="B492" s="2" t="n">
        <v>139</v>
      </c>
      <c r="C492" s="2" t="n">
        <v>7</v>
      </c>
      <c r="D492" s="12" t="n">
        <v>46032.59930555556</v>
      </c>
      <c r="E492" s="8" t="n">
        <v>499</v>
      </c>
      <c r="F492" s="2" t="inlineStr">
        <is>
          <t>Card</t>
        </is>
      </c>
      <c r="G492" s="2" t="inlineStr">
        <is>
          <t>captured</t>
        </is>
      </c>
      <c r="H492" s="2" t="n">
        <v>16</v>
      </c>
      <c r="I492" s="2">
        <f>IFERROR(VLOOKUP(C492,Merchants!$A$2:$D$41,2,FALSE),"Merchant not found")</f>
        <v/>
      </c>
      <c r="J492" s="2">
        <f>IFERROR(VLOOKUP(C492,Merchants!$A$2:$D$41,3,FALSE),"Merchant not found")</f>
        <v/>
      </c>
      <c r="K492" s="2">
        <f>IFERROR(VLOOKUP(C492,Merchants!$A$2:$D$41,4,FALSE),"Merchant not found")</f>
        <v/>
      </c>
      <c r="L492" s="7">
        <f>DATE(YEAR(D492),MONTH(D492),DAY(D492))</f>
        <v/>
      </c>
      <c r="M492" s="5">
        <f>IFERROR(HLOOKUP(F492,Fee_Tiers!$B$1:$E$2,2,FALSE),"Fee tier not found")</f>
        <v/>
      </c>
      <c r="N492" s="8">
        <f>SUMIFS(Daily_Merchant!$C$2:$C$444,Daily_Merchant!$A$2:$A$444,C492,Daily_Merchant!$B$2:$B$444,L492)</f>
        <v/>
      </c>
      <c r="O492" s="2">
        <f>IF(AND(N492&gt;5000,K492&lt;&gt;"East"),"High-Value Merchant Day","")</f>
        <v/>
      </c>
    </row>
    <row r="493">
      <c r="A493" s="2" t="inlineStr">
        <is>
          <t>TXN100491</t>
        </is>
      </c>
      <c r="B493" s="2" t="n">
        <v>230</v>
      </c>
      <c r="C493" s="2" t="n">
        <v>36</v>
      </c>
      <c r="D493" s="12" t="n">
        <v>46025.22708333333</v>
      </c>
      <c r="E493" s="8" t="n">
        <v>99</v>
      </c>
      <c r="F493" s="2" t="inlineStr">
        <is>
          <t>Wallet</t>
        </is>
      </c>
      <c r="G493" s="2" t="inlineStr">
        <is>
          <t>captured</t>
        </is>
      </c>
      <c r="H493" s="2" t="n">
        <v>71</v>
      </c>
      <c r="I493" s="2">
        <f>IFERROR(VLOOKUP(C493,Merchants!$A$2:$D$41,2,FALSE),"Merchant not found")</f>
        <v/>
      </c>
      <c r="J493" s="2">
        <f>IFERROR(VLOOKUP(C493,Merchants!$A$2:$D$41,3,FALSE),"Merchant not found")</f>
        <v/>
      </c>
      <c r="K493" s="2">
        <f>IFERROR(VLOOKUP(C493,Merchants!$A$2:$D$41,4,FALSE),"Merchant not found")</f>
        <v/>
      </c>
      <c r="L493" s="7">
        <f>DATE(YEAR(D493),MONTH(D493),DAY(D493))</f>
        <v/>
      </c>
      <c r="M493" s="5">
        <f>IFERROR(HLOOKUP(F493,Fee_Tiers!$B$1:$E$2,2,FALSE),"Fee tier not found")</f>
        <v/>
      </c>
      <c r="N493" s="8">
        <f>SUMIFS(Daily_Merchant!$C$2:$C$444,Daily_Merchant!$A$2:$A$444,C493,Daily_Merchant!$B$2:$B$444,L493)</f>
        <v/>
      </c>
      <c r="O493" s="2">
        <f>IF(AND(N493&gt;5000,K493&lt;&gt;"East"),"High-Value Merchant Day","")</f>
        <v/>
      </c>
    </row>
    <row r="494">
      <c r="A494" s="2" t="inlineStr">
        <is>
          <t>TXN100492</t>
        </is>
      </c>
      <c r="B494" s="2" t="n">
        <v>14</v>
      </c>
      <c r="C494" s="2" t="n">
        <v>6</v>
      </c>
      <c r="D494" s="12" t="n">
        <v>46039.54583333333</v>
      </c>
      <c r="E494" s="8" t="n">
        <v>799</v>
      </c>
      <c r="F494" s="2" t="inlineStr">
        <is>
          <t>Card</t>
        </is>
      </c>
      <c r="G494" s="2" t="inlineStr">
        <is>
          <t>captured</t>
        </is>
      </c>
      <c r="H494" s="2" t="n">
        <v>45</v>
      </c>
      <c r="I494" s="2">
        <f>IFERROR(VLOOKUP(C494,Merchants!$A$2:$D$41,2,FALSE),"Merchant not found")</f>
        <v/>
      </c>
      <c r="J494" s="2">
        <f>IFERROR(VLOOKUP(C494,Merchants!$A$2:$D$41,3,FALSE),"Merchant not found")</f>
        <v/>
      </c>
      <c r="K494" s="2">
        <f>IFERROR(VLOOKUP(C494,Merchants!$A$2:$D$41,4,FALSE),"Merchant not found")</f>
        <v/>
      </c>
      <c r="L494" s="7">
        <f>DATE(YEAR(D494),MONTH(D494),DAY(D494))</f>
        <v/>
      </c>
      <c r="M494" s="5">
        <f>IFERROR(HLOOKUP(F494,Fee_Tiers!$B$1:$E$2,2,FALSE),"Fee tier not found")</f>
        <v/>
      </c>
      <c r="N494" s="8">
        <f>SUMIFS(Daily_Merchant!$C$2:$C$444,Daily_Merchant!$A$2:$A$444,C494,Daily_Merchant!$B$2:$B$444,L494)</f>
        <v/>
      </c>
      <c r="O494" s="2">
        <f>IF(AND(N494&gt;5000,K494&lt;&gt;"East"),"High-Value Merchant Day","")</f>
        <v/>
      </c>
    </row>
    <row r="495">
      <c r="A495" s="2" t="inlineStr">
        <is>
          <t>TXN100493</t>
        </is>
      </c>
      <c r="B495" s="2" t="n">
        <v>307</v>
      </c>
      <c r="C495" s="2" t="n">
        <v>21</v>
      </c>
      <c r="D495" s="12" t="n">
        <v>46040.10972222222</v>
      </c>
      <c r="E495" s="8" t="n">
        <v>799</v>
      </c>
      <c r="F495" s="2" t="inlineStr">
        <is>
          <t>UPI</t>
        </is>
      </c>
      <c r="G495" s="2" t="inlineStr">
        <is>
          <t>captured</t>
        </is>
      </c>
      <c r="H495" s="2" t="n">
        <v>49</v>
      </c>
      <c r="I495" s="2">
        <f>IFERROR(VLOOKUP(C495,Merchants!$A$2:$D$41,2,FALSE),"Merchant not found")</f>
        <v/>
      </c>
      <c r="J495" s="2">
        <f>IFERROR(VLOOKUP(C495,Merchants!$A$2:$D$41,3,FALSE),"Merchant not found")</f>
        <v/>
      </c>
      <c r="K495" s="2">
        <f>IFERROR(VLOOKUP(C495,Merchants!$A$2:$D$41,4,FALSE),"Merchant not found")</f>
        <v/>
      </c>
      <c r="L495" s="7">
        <f>DATE(YEAR(D495),MONTH(D495),DAY(D495))</f>
        <v/>
      </c>
      <c r="M495" s="5">
        <f>IFERROR(HLOOKUP(F495,Fee_Tiers!$B$1:$E$2,2,FALSE),"Fee tier not found")</f>
        <v/>
      </c>
      <c r="N495" s="8">
        <f>SUMIFS(Daily_Merchant!$C$2:$C$444,Daily_Merchant!$A$2:$A$444,C495,Daily_Merchant!$B$2:$B$444,L495)</f>
        <v/>
      </c>
      <c r="O495" s="2">
        <f>IF(AND(N495&gt;5000,K495&lt;&gt;"East"),"High-Value Merchant Day","")</f>
        <v/>
      </c>
    </row>
    <row r="496">
      <c r="A496" s="2" t="inlineStr">
        <is>
          <t>TXN100494</t>
        </is>
      </c>
      <c r="B496" s="2" t="n">
        <v>199</v>
      </c>
      <c r="C496" s="2" t="n">
        <v>6</v>
      </c>
      <c r="D496" s="12" t="n">
        <v>46023.39305555556</v>
      </c>
      <c r="E496" s="8" t="n">
        <v>49</v>
      </c>
      <c r="F496" s="2" t="inlineStr">
        <is>
          <t>UPI</t>
        </is>
      </c>
      <c r="G496" s="2" t="inlineStr">
        <is>
          <t>captured</t>
        </is>
      </c>
      <c r="H496" s="2" t="n">
        <v>92</v>
      </c>
      <c r="I496" s="2">
        <f>IFERROR(VLOOKUP(C496,Merchants!$A$2:$D$41,2,FALSE),"Merchant not found")</f>
        <v/>
      </c>
      <c r="J496" s="2">
        <f>IFERROR(VLOOKUP(C496,Merchants!$A$2:$D$41,3,FALSE),"Merchant not found")</f>
        <v/>
      </c>
      <c r="K496" s="2">
        <f>IFERROR(VLOOKUP(C496,Merchants!$A$2:$D$41,4,FALSE),"Merchant not found")</f>
        <v/>
      </c>
      <c r="L496" s="7">
        <f>DATE(YEAR(D496),MONTH(D496),DAY(D496))</f>
        <v/>
      </c>
      <c r="M496" s="5">
        <f>IFERROR(HLOOKUP(F496,Fee_Tiers!$B$1:$E$2,2,FALSE),"Fee tier not found")</f>
        <v/>
      </c>
      <c r="N496" s="8">
        <f>SUMIFS(Daily_Merchant!$C$2:$C$444,Daily_Merchant!$A$2:$A$444,C496,Daily_Merchant!$B$2:$B$444,L496)</f>
        <v/>
      </c>
      <c r="O496" s="2">
        <f>IF(AND(N496&gt;5000,K496&lt;&gt;"East"),"High-Value Merchant Day","")</f>
        <v/>
      </c>
    </row>
    <row r="497">
      <c r="A497" s="2" t="inlineStr">
        <is>
          <t>TXN100495</t>
        </is>
      </c>
      <c r="B497" s="2" t="n">
        <v>125</v>
      </c>
      <c r="C497" s="2" t="n">
        <v>37</v>
      </c>
      <c r="D497" s="12" t="n">
        <v>46051.74791666667</v>
      </c>
      <c r="E497" s="8" t="n">
        <v>149</v>
      </c>
      <c r="F497" s="2" t="inlineStr">
        <is>
          <t>Wallet</t>
        </is>
      </c>
      <c r="G497" s="2" t="inlineStr">
        <is>
          <t>captured</t>
        </is>
      </c>
      <c r="H497" s="2" t="n">
        <v>66</v>
      </c>
      <c r="I497" s="2">
        <f>IFERROR(VLOOKUP(C497,Merchants!$A$2:$D$41,2,FALSE),"Merchant not found")</f>
        <v/>
      </c>
      <c r="J497" s="2">
        <f>IFERROR(VLOOKUP(C497,Merchants!$A$2:$D$41,3,FALSE),"Merchant not found")</f>
        <v/>
      </c>
      <c r="K497" s="2">
        <f>IFERROR(VLOOKUP(C497,Merchants!$A$2:$D$41,4,FALSE),"Merchant not found")</f>
        <v/>
      </c>
      <c r="L497" s="7">
        <f>DATE(YEAR(D497),MONTH(D497),DAY(D497))</f>
        <v/>
      </c>
      <c r="M497" s="5">
        <f>IFERROR(HLOOKUP(F497,Fee_Tiers!$B$1:$E$2,2,FALSE),"Fee tier not found")</f>
        <v/>
      </c>
      <c r="N497" s="8">
        <f>SUMIFS(Daily_Merchant!$C$2:$C$444,Daily_Merchant!$A$2:$A$444,C497,Daily_Merchant!$B$2:$B$444,L497)</f>
        <v/>
      </c>
      <c r="O497" s="2">
        <f>IF(AND(N497&gt;5000,K497&lt;&gt;"East"),"High-Value Merchant Day","")</f>
        <v/>
      </c>
    </row>
    <row r="498">
      <c r="A498" s="2" t="inlineStr">
        <is>
          <t>TXN100496</t>
        </is>
      </c>
      <c r="B498" s="2" t="n">
        <v>87</v>
      </c>
      <c r="C498" s="2" t="n">
        <v>9</v>
      </c>
      <c r="D498" s="12" t="n">
        <v>46028.89166666667</v>
      </c>
      <c r="E498" s="8" t="n">
        <v>149</v>
      </c>
      <c r="F498" s="2" t="inlineStr">
        <is>
          <t>UPI</t>
        </is>
      </c>
      <c r="G498" s="2" t="inlineStr">
        <is>
          <t>captured</t>
        </is>
      </c>
      <c r="H498" s="2" t="n">
        <v>34</v>
      </c>
      <c r="I498" s="2">
        <f>IFERROR(VLOOKUP(C498,Merchants!$A$2:$D$41,2,FALSE),"Merchant not found")</f>
        <v/>
      </c>
      <c r="J498" s="2">
        <f>IFERROR(VLOOKUP(C498,Merchants!$A$2:$D$41,3,FALSE),"Merchant not found")</f>
        <v/>
      </c>
      <c r="K498" s="2">
        <f>IFERROR(VLOOKUP(C498,Merchants!$A$2:$D$41,4,FALSE),"Merchant not found")</f>
        <v/>
      </c>
      <c r="L498" s="7">
        <f>DATE(YEAR(D498),MONTH(D498),DAY(D498))</f>
        <v/>
      </c>
      <c r="M498" s="5">
        <f>IFERROR(HLOOKUP(F498,Fee_Tiers!$B$1:$E$2,2,FALSE),"Fee tier not found")</f>
        <v/>
      </c>
      <c r="N498" s="8">
        <f>SUMIFS(Daily_Merchant!$C$2:$C$444,Daily_Merchant!$A$2:$A$444,C498,Daily_Merchant!$B$2:$B$444,L498)</f>
        <v/>
      </c>
      <c r="O498" s="2">
        <f>IF(AND(N498&gt;5000,K498&lt;&gt;"East"),"High-Value Merchant Day","")</f>
        <v/>
      </c>
    </row>
    <row r="499">
      <c r="A499" s="2" t="inlineStr">
        <is>
          <t>TXN100497</t>
        </is>
      </c>
      <c r="B499" s="2" t="n">
        <v>75</v>
      </c>
      <c r="C499" s="2" t="n">
        <v>5</v>
      </c>
      <c r="D499" s="12" t="n">
        <v>46032.35486111111</v>
      </c>
      <c r="E499" s="8" t="n">
        <v>99</v>
      </c>
      <c r="F499" s="2" t="inlineStr">
        <is>
          <t>UPI</t>
        </is>
      </c>
      <c r="G499" s="2" t="inlineStr">
        <is>
          <t>captured</t>
        </is>
      </c>
      <c r="H499" s="2" t="n">
        <v>21</v>
      </c>
      <c r="I499" s="2">
        <f>IFERROR(VLOOKUP(C499,Merchants!$A$2:$D$41,2,FALSE),"Merchant not found")</f>
        <v/>
      </c>
      <c r="J499" s="2">
        <f>IFERROR(VLOOKUP(C499,Merchants!$A$2:$D$41,3,FALSE),"Merchant not found")</f>
        <v/>
      </c>
      <c r="K499" s="2">
        <f>IFERROR(VLOOKUP(C499,Merchants!$A$2:$D$41,4,FALSE),"Merchant not found")</f>
        <v/>
      </c>
      <c r="L499" s="7">
        <f>DATE(YEAR(D499),MONTH(D499),DAY(D499))</f>
        <v/>
      </c>
      <c r="M499" s="5">
        <f>IFERROR(HLOOKUP(F499,Fee_Tiers!$B$1:$E$2,2,FALSE),"Fee tier not found")</f>
        <v/>
      </c>
      <c r="N499" s="8">
        <f>SUMIFS(Daily_Merchant!$C$2:$C$444,Daily_Merchant!$A$2:$A$444,C499,Daily_Merchant!$B$2:$B$444,L499)</f>
        <v/>
      </c>
      <c r="O499" s="2">
        <f>IF(AND(N499&gt;5000,K499&lt;&gt;"East"),"High-Value Merchant Day","")</f>
        <v/>
      </c>
    </row>
    <row r="500">
      <c r="A500" s="2" t="inlineStr">
        <is>
          <t>TXN100498</t>
        </is>
      </c>
      <c r="B500" s="2" t="n">
        <v>154</v>
      </c>
      <c r="C500" s="2" t="n">
        <v>31</v>
      </c>
      <c r="D500" s="12" t="n">
        <v>46036.35138888889</v>
      </c>
      <c r="E500" s="8" t="n">
        <v>499</v>
      </c>
      <c r="F500" s="2" t="inlineStr">
        <is>
          <t>Wallet</t>
        </is>
      </c>
      <c r="G500" s="2" t="inlineStr">
        <is>
          <t>captured</t>
        </is>
      </c>
      <c r="H500" s="2" t="n">
        <v>100</v>
      </c>
      <c r="I500" s="2">
        <f>IFERROR(VLOOKUP(C500,Merchants!$A$2:$D$41,2,FALSE),"Merchant not found")</f>
        <v/>
      </c>
      <c r="J500" s="2">
        <f>IFERROR(VLOOKUP(C500,Merchants!$A$2:$D$41,3,FALSE),"Merchant not found")</f>
        <v/>
      </c>
      <c r="K500" s="2">
        <f>IFERROR(VLOOKUP(C500,Merchants!$A$2:$D$41,4,FALSE),"Merchant not found")</f>
        <v/>
      </c>
      <c r="L500" s="7">
        <f>DATE(YEAR(D500),MONTH(D500),DAY(D500))</f>
        <v/>
      </c>
      <c r="M500" s="5">
        <f>IFERROR(HLOOKUP(F500,Fee_Tiers!$B$1:$E$2,2,FALSE),"Fee tier not found")</f>
        <v/>
      </c>
      <c r="N500" s="8">
        <f>SUMIFS(Daily_Merchant!$C$2:$C$444,Daily_Merchant!$A$2:$A$444,C500,Daily_Merchant!$B$2:$B$444,L500)</f>
        <v/>
      </c>
      <c r="O500" s="2">
        <f>IF(AND(N500&gt;5000,K500&lt;&gt;"East"),"High-Value Merchant Day","")</f>
        <v/>
      </c>
    </row>
    <row r="501">
      <c r="A501" s="2" t="inlineStr">
        <is>
          <t>TXN100499</t>
        </is>
      </c>
      <c r="B501" s="2" t="n">
        <v>127</v>
      </c>
      <c r="C501" s="2" t="n">
        <v>32</v>
      </c>
      <c r="D501" s="12" t="n">
        <v>46025.46944444445</v>
      </c>
      <c r="E501" s="8" t="n">
        <v>149</v>
      </c>
      <c r="F501" s="2" t="inlineStr">
        <is>
          <t>Card</t>
        </is>
      </c>
      <c r="G501" s="2" t="inlineStr">
        <is>
          <t>captured</t>
        </is>
      </c>
      <c r="H501" s="2" t="n">
        <v>76</v>
      </c>
      <c r="I501" s="2">
        <f>IFERROR(VLOOKUP(C501,Merchants!$A$2:$D$41,2,FALSE),"Merchant not found")</f>
        <v/>
      </c>
      <c r="J501" s="2">
        <f>IFERROR(VLOOKUP(C501,Merchants!$A$2:$D$41,3,FALSE),"Merchant not found")</f>
        <v/>
      </c>
      <c r="K501" s="2">
        <f>IFERROR(VLOOKUP(C501,Merchants!$A$2:$D$41,4,FALSE),"Merchant not found")</f>
        <v/>
      </c>
      <c r="L501" s="7">
        <f>DATE(YEAR(D501),MONTH(D501),DAY(D501))</f>
        <v/>
      </c>
      <c r="M501" s="5">
        <f>IFERROR(HLOOKUP(F501,Fee_Tiers!$B$1:$E$2,2,FALSE),"Fee tier not found")</f>
        <v/>
      </c>
      <c r="N501" s="8">
        <f>SUMIFS(Daily_Merchant!$C$2:$C$444,Daily_Merchant!$A$2:$A$444,C501,Daily_Merchant!$B$2:$B$444,L501)</f>
        <v/>
      </c>
      <c r="O501" s="2">
        <f>IF(AND(N501&gt;5000,K501&lt;&gt;"East"),"High-Value Merchant Day","")</f>
        <v/>
      </c>
    </row>
    <row r="502">
      <c r="A502" s="2" t="inlineStr">
        <is>
          <t>TXN200000</t>
        </is>
      </c>
      <c r="B502" s="2" t="n">
        <v>351</v>
      </c>
      <c r="C502" s="2" t="n">
        <v>7</v>
      </c>
      <c r="D502" s="12" t="n">
        <v>46052.25</v>
      </c>
      <c r="E502" s="8" t="n">
        <v>1999</v>
      </c>
      <c r="F502" s="2" t="inlineStr">
        <is>
          <t>Card</t>
        </is>
      </c>
      <c r="G502" s="2" t="inlineStr">
        <is>
          <t>chargeback</t>
        </is>
      </c>
      <c r="H502" s="2" t="n">
        <v>79</v>
      </c>
      <c r="I502" s="2">
        <f>IFERROR(VLOOKUP(C502,Merchants!$A$2:$D$41,2,FALSE),"Merchant not found")</f>
        <v/>
      </c>
      <c r="J502" s="2">
        <f>IFERROR(VLOOKUP(C502,Merchants!$A$2:$D$41,3,FALSE),"Merchant not found")</f>
        <v/>
      </c>
      <c r="K502" s="2">
        <f>IFERROR(VLOOKUP(C502,Merchants!$A$2:$D$41,4,FALSE),"Merchant not found")</f>
        <v/>
      </c>
      <c r="L502" s="7">
        <f>DATE(YEAR(D502),MONTH(D502),DAY(D502))</f>
        <v/>
      </c>
      <c r="M502" s="5">
        <f>IFERROR(HLOOKUP(F502,Fee_Tiers!$B$1:$E$2,2,FALSE),"Fee tier not found")</f>
        <v/>
      </c>
      <c r="N502" s="8">
        <f>SUMIFS(Daily_Merchant!$C$2:$C$444,Daily_Merchant!$A$2:$A$444,C502,Daily_Merchant!$B$2:$B$444,L502)</f>
        <v/>
      </c>
      <c r="O502" s="2">
        <f>IF(AND(N502&gt;5000,K502&lt;&gt;"East"),"High-Value Merchant Day","")</f>
        <v/>
      </c>
    </row>
    <row r="503">
      <c r="A503" s="2" t="inlineStr">
        <is>
          <t>TXN200001</t>
        </is>
      </c>
      <c r="B503" s="2" t="n">
        <v>352</v>
      </c>
      <c r="C503" s="2" t="n">
        <v>40</v>
      </c>
      <c r="D503" s="12" t="n">
        <v>46033.5</v>
      </c>
      <c r="E503" s="8" t="n">
        <v>4999</v>
      </c>
      <c r="F503" s="2" t="inlineStr">
        <is>
          <t>Card</t>
        </is>
      </c>
      <c r="G503" s="2" t="inlineStr">
        <is>
          <t>chargeback</t>
        </is>
      </c>
      <c r="H503" s="2" t="n">
        <v>95</v>
      </c>
      <c r="I503" s="2">
        <f>IFERROR(VLOOKUP(C503,Merchants!$A$2:$D$41,2,FALSE),"Merchant not found")</f>
        <v/>
      </c>
      <c r="J503" s="2">
        <f>IFERROR(VLOOKUP(C503,Merchants!$A$2:$D$41,3,FALSE),"Merchant not found")</f>
        <v/>
      </c>
      <c r="K503" s="2">
        <f>IFERROR(VLOOKUP(C503,Merchants!$A$2:$D$41,4,FALSE),"Merchant not found")</f>
        <v/>
      </c>
      <c r="L503" s="7">
        <f>DATE(YEAR(D503),MONTH(D503),DAY(D503))</f>
        <v/>
      </c>
      <c r="M503" s="5">
        <f>IFERROR(HLOOKUP(F503,Fee_Tiers!$B$1:$E$2,2,FALSE),"Fee tier not found")</f>
        <v/>
      </c>
      <c r="N503" s="8">
        <f>SUMIFS(Daily_Merchant!$C$2:$C$444,Daily_Merchant!$A$2:$A$444,C503,Daily_Merchant!$B$2:$B$444,L503)</f>
        <v/>
      </c>
      <c r="O503" s="2">
        <f>IF(AND(N503&gt;5000,K503&lt;&gt;"East"),"High-Value Merchant Day","")</f>
        <v/>
      </c>
    </row>
    <row r="504">
      <c r="A504" s="2" t="inlineStr">
        <is>
          <t>TXN200002</t>
        </is>
      </c>
      <c r="B504" s="2" t="n">
        <v>353</v>
      </c>
      <c r="C504" s="2" t="n">
        <v>28</v>
      </c>
      <c r="D504" s="12" t="n">
        <v>46043.58333333334</v>
      </c>
      <c r="E504" s="8" t="n">
        <v>1999</v>
      </c>
      <c r="F504" s="2" t="inlineStr">
        <is>
          <t>Card</t>
        </is>
      </c>
      <c r="G504" s="2" t="inlineStr">
        <is>
          <t>chargeback</t>
        </is>
      </c>
      <c r="H504" s="2" t="n">
        <v>79</v>
      </c>
      <c r="I504" s="2">
        <f>IFERROR(VLOOKUP(C504,Merchants!$A$2:$D$41,2,FALSE),"Merchant not found")</f>
        <v/>
      </c>
      <c r="J504" s="2">
        <f>IFERROR(VLOOKUP(C504,Merchants!$A$2:$D$41,3,FALSE),"Merchant not found")</f>
        <v/>
      </c>
      <c r="K504" s="2">
        <f>IFERROR(VLOOKUP(C504,Merchants!$A$2:$D$41,4,FALSE),"Merchant not found")</f>
        <v/>
      </c>
      <c r="L504" s="7">
        <f>DATE(YEAR(D504),MONTH(D504),DAY(D504))</f>
        <v/>
      </c>
      <c r="M504" s="5">
        <f>IFERROR(HLOOKUP(F504,Fee_Tiers!$B$1:$E$2,2,FALSE),"Fee tier not found")</f>
        <v/>
      </c>
      <c r="N504" s="8">
        <f>SUMIFS(Daily_Merchant!$C$2:$C$444,Daily_Merchant!$A$2:$A$444,C504,Daily_Merchant!$B$2:$B$444,L504)</f>
        <v/>
      </c>
      <c r="O504" s="2">
        <f>IF(AND(N504&gt;5000,K504&lt;&gt;"East"),"High-Value Merchant Day","")</f>
        <v/>
      </c>
    </row>
    <row r="505">
      <c r="A505" s="2" t="inlineStr">
        <is>
          <t>TXN200003</t>
        </is>
      </c>
      <c r="B505" s="2" t="n">
        <v>354</v>
      </c>
      <c r="C505" s="2" t="n">
        <v>13</v>
      </c>
      <c r="D505" s="12" t="n">
        <v>46043.79166666666</v>
      </c>
      <c r="E505" s="8" t="n">
        <v>4999</v>
      </c>
      <c r="F505" s="2" t="inlineStr">
        <is>
          <t>Card</t>
        </is>
      </c>
      <c r="G505" s="2" t="inlineStr">
        <is>
          <t>chargeback</t>
        </is>
      </c>
      <c r="H505" s="2" t="n">
        <v>80</v>
      </c>
      <c r="I505" s="2">
        <f>IFERROR(VLOOKUP(C505,Merchants!$A$2:$D$41,2,FALSE),"Merchant not found")</f>
        <v/>
      </c>
      <c r="J505" s="2">
        <f>IFERROR(VLOOKUP(C505,Merchants!$A$2:$D$41,3,FALSE),"Merchant not found")</f>
        <v/>
      </c>
      <c r="K505" s="2">
        <f>IFERROR(VLOOKUP(C505,Merchants!$A$2:$D$41,4,FALSE),"Merchant not found")</f>
        <v/>
      </c>
      <c r="L505" s="7">
        <f>DATE(YEAR(D505),MONTH(D505),DAY(D505))</f>
        <v/>
      </c>
      <c r="M505" s="5">
        <f>IFERROR(HLOOKUP(F505,Fee_Tiers!$B$1:$E$2,2,FALSE),"Fee tier not found")</f>
        <v/>
      </c>
      <c r="N505" s="8">
        <f>SUMIFS(Daily_Merchant!$C$2:$C$444,Daily_Merchant!$A$2:$A$444,C505,Daily_Merchant!$B$2:$B$444,L505)</f>
        <v/>
      </c>
      <c r="O505" s="2">
        <f>IF(AND(N505&gt;5000,K505&lt;&gt;"East"),"High-Value Merchant Day","")</f>
        <v/>
      </c>
    </row>
    <row r="506">
      <c r="A506" s="2" t="inlineStr">
        <is>
          <t>TXN200004</t>
        </is>
      </c>
      <c r="B506" s="2" t="n">
        <v>355</v>
      </c>
      <c r="C506" s="2" t="n">
        <v>19</v>
      </c>
      <c r="D506" s="12" t="n">
        <v>46038.5</v>
      </c>
      <c r="E506" s="8" t="n">
        <v>4999</v>
      </c>
      <c r="F506" s="2" t="inlineStr">
        <is>
          <t>Card</t>
        </is>
      </c>
      <c r="G506" s="2" t="inlineStr">
        <is>
          <t>chargeback</t>
        </is>
      </c>
      <c r="H506" s="2" t="n">
        <v>100</v>
      </c>
      <c r="I506" s="2">
        <f>IFERROR(VLOOKUP(C506,Merchants!$A$2:$D$41,2,FALSE),"Merchant not found")</f>
        <v/>
      </c>
      <c r="J506" s="2">
        <f>IFERROR(VLOOKUP(C506,Merchants!$A$2:$D$41,3,FALSE),"Merchant not found")</f>
        <v/>
      </c>
      <c r="K506" s="2">
        <f>IFERROR(VLOOKUP(C506,Merchants!$A$2:$D$41,4,FALSE),"Merchant not found")</f>
        <v/>
      </c>
      <c r="L506" s="7">
        <f>DATE(YEAR(D506),MONTH(D506),DAY(D506))</f>
        <v/>
      </c>
      <c r="M506" s="5">
        <f>IFERROR(HLOOKUP(F506,Fee_Tiers!$B$1:$E$2,2,FALSE),"Fee tier not found")</f>
        <v/>
      </c>
      <c r="N506" s="8">
        <f>SUMIFS(Daily_Merchant!$C$2:$C$444,Daily_Merchant!$A$2:$A$444,C506,Daily_Merchant!$B$2:$B$444,L506)</f>
        <v/>
      </c>
      <c r="O506" s="2">
        <f>IF(AND(N506&gt;5000,K506&lt;&gt;"East"),"High-Value Merchant Day","")</f>
        <v/>
      </c>
    </row>
    <row r="507">
      <c r="A507" s="2" t="inlineStr">
        <is>
          <t>TXN200005</t>
        </is>
      </c>
      <c r="B507" s="2" t="n">
        <v>356</v>
      </c>
      <c r="C507" s="2" t="n">
        <v>25</v>
      </c>
      <c r="D507" s="12" t="n">
        <v>46051.29166666666</v>
      </c>
      <c r="E507" s="8" t="n">
        <v>2999</v>
      </c>
      <c r="F507" s="2" t="inlineStr">
        <is>
          <t>Card</t>
        </is>
      </c>
      <c r="G507" s="2" t="inlineStr">
        <is>
          <t>chargeback</t>
        </is>
      </c>
      <c r="H507" s="2" t="n">
        <v>96</v>
      </c>
      <c r="I507" s="2">
        <f>IFERROR(VLOOKUP(C507,Merchants!$A$2:$D$41,2,FALSE),"Merchant not found")</f>
        <v/>
      </c>
      <c r="J507" s="2">
        <f>IFERROR(VLOOKUP(C507,Merchants!$A$2:$D$41,3,FALSE),"Merchant not found")</f>
        <v/>
      </c>
      <c r="K507" s="2">
        <f>IFERROR(VLOOKUP(C507,Merchants!$A$2:$D$41,4,FALSE),"Merchant not found")</f>
        <v/>
      </c>
      <c r="L507" s="7">
        <f>DATE(YEAR(D507),MONTH(D507),DAY(D507))</f>
        <v/>
      </c>
      <c r="M507" s="5">
        <f>IFERROR(HLOOKUP(F507,Fee_Tiers!$B$1:$E$2,2,FALSE),"Fee tier not found")</f>
        <v/>
      </c>
      <c r="N507" s="8">
        <f>SUMIFS(Daily_Merchant!$C$2:$C$444,Daily_Merchant!$A$2:$A$444,C507,Daily_Merchant!$B$2:$B$444,L507)</f>
        <v/>
      </c>
      <c r="O507" s="2">
        <f>IF(AND(N507&gt;5000,K507&lt;&gt;"East"),"High-Value Merchant Day","")</f>
        <v/>
      </c>
    </row>
    <row r="508">
      <c r="A508" s="2" t="inlineStr">
        <is>
          <t>TXN200006</t>
        </is>
      </c>
      <c r="B508" s="2" t="n">
        <v>357</v>
      </c>
      <c r="C508" s="2" t="n">
        <v>37</v>
      </c>
      <c r="D508" s="12" t="n">
        <v>46045.45833333334</v>
      </c>
      <c r="E508" s="8" t="n">
        <v>1999</v>
      </c>
      <c r="F508" s="2" t="inlineStr">
        <is>
          <t>Card</t>
        </is>
      </c>
      <c r="G508" s="2" t="inlineStr">
        <is>
          <t>chargeback</t>
        </is>
      </c>
      <c r="H508" s="2" t="n">
        <v>88</v>
      </c>
      <c r="I508" s="2">
        <f>IFERROR(VLOOKUP(C508,Merchants!$A$2:$D$41,2,FALSE),"Merchant not found")</f>
        <v/>
      </c>
      <c r="J508" s="2">
        <f>IFERROR(VLOOKUP(C508,Merchants!$A$2:$D$41,3,FALSE),"Merchant not found")</f>
        <v/>
      </c>
      <c r="K508" s="2">
        <f>IFERROR(VLOOKUP(C508,Merchants!$A$2:$D$41,4,FALSE),"Merchant not found")</f>
        <v/>
      </c>
      <c r="L508" s="7">
        <f>DATE(YEAR(D508),MONTH(D508),DAY(D508))</f>
        <v/>
      </c>
      <c r="M508" s="5">
        <f>IFERROR(HLOOKUP(F508,Fee_Tiers!$B$1:$E$2,2,FALSE),"Fee tier not found")</f>
        <v/>
      </c>
      <c r="N508" s="8">
        <f>SUMIFS(Daily_Merchant!$C$2:$C$444,Daily_Merchant!$A$2:$A$444,C508,Daily_Merchant!$B$2:$B$444,L508)</f>
        <v/>
      </c>
      <c r="O508" s="2">
        <f>IF(AND(N508&gt;5000,K508&lt;&gt;"East"),"High-Value Merchant Day","")</f>
        <v/>
      </c>
    </row>
    <row r="509">
      <c r="A509" s="2" t="inlineStr">
        <is>
          <t>TXN200007</t>
        </is>
      </c>
      <c r="B509" s="2" t="n">
        <v>358</v>
      </c>
      <c r="C509" s="2" t="n">
        <v>36</v>
      </c>
      <c r="D509" s="12" t="n">
        <v>46050.20833333334</v>
      </c>
      <c r="E509" s="8" t="n">
        <v>999</v>
      </c>
      <c r="F509" s="2" t="inlineStr">
        <is>
          <t>Card</t>
        </is>
      </c>
      <c r="G509" s="2" t="inlineStr">
        <is>
          <t>chargeback</t>
        </is>
      </c>
      <c r="H509" s="2" t="n">
        <v>100</v>
      </c>
      <c r="I509" s="2">
        <f>IFERROR(VLOOKUP(C509,Merchants!$A$2:$D$41,2,FALSE),"Merchant not found")</f>
        <v/>
      </c>
      <c r="J509" s="2">
        <f>IFERROR(VLOOKUP(C509,Merchants!$A$2:$D$41,3,FALSE),"Merchant not found")</f>
        <v/>
      </c>
      <c r="K509" s="2">
        <f>IFERROR(VLOOKUP(C509,Merchants!$A$2:$D$41,4,FALSE),"Merchant not found")</f>
        <v/>
      </c>
      <c r="L509" s="7">
        <f>DATE(YEAR(D509),MONTH(D509),DAY(D509))</f>
        <v/>
      </c>
      <c r="M509" s="5">
        <f>IFERROR(HLOOKUP(F509,Fee_Tiers!$B$1:$E$2,2,FALSE),"Fee tier not found")</f>
        <v/>
      </c>
      <c r="N509" s="8">
        <f>SUMIFS(Daily_Merchant!$C$2:$C$444,Daily_Merchant!$A$2:$A$444,C509,Daily_Merchant!$B$2:$B$444,L509)</f>
        <v/>
      </c>
      <c r="O509" s="2">
        <f>IF(AND(N509&gt;5000,K509&lt;&gt;"East"),"High-Value Merchant Day","")</f>
        <v/>
      </c>
    </row>
    <row r="510">
      <c r="A510" s="2" t="inlineStr">
        <is>
          <t>TXN200008</t>
        </is>
      </c>
      <c r="B510" s="2" t="n">
        <v>359</v>
      </c>
      <c r="C510" s="2" t="n">
        <v>29</v>
      </c>
      <c r="D510" s="12" t="n">
        <v>46047.91666666666</v>
      </c>
      <c r="E510" s="8" t="n">
        <v>2999</v>
      </c>
      <c r="F510" s="2" t="inlineStr">
        <is>
          <t>Card</t>
        </is>
      </c>
      <c r="G510" s="2" t="inlineStr">
        <is>
          <t>chargeback</t>
        </is>
      </c>
      <c r="H510" s="2" t="n">
        <v>96</v>
      </c>
      <c r="I510" s="2">
        <f>IFERROR(VLOOKUP(C510,Merchants!$A$2:$D$41,2,FALSE),"Merchant not found")</f>
        <v/>
      </c>
      <c r="J510" s="2">
        <f>IFERROR(VLOOKUP(C510,Merchants!$A$2:$D$41,3,FALSE),"Merchant not found")</f>
        <v/>
      </c>
      <c r="K510" s="2">
        <f>IFERROR(VLOOKUP(C510,Merchants!$A$2:$D$41,4,FALSE),"Merchant not found")</f>
        <v/>
      </c>
      <c r="L510" s="7">
        <f>DATE(YEAR(D510),MONTH(D510),DAY(D510))</f>
        <v/>
      </c>
      <c r="M510" s="5">
        <f>IFERROR(HLOOKUP(F510,Fee_Tiers!$B$1:$E$2,2,FALSE),"Fee tier not found")</f>
        <v/>
      </c>
      <c r="N510" s="8">
        <f>SUMIFS(Daily_Merchant!$C$2:$C$444,Daily_Merchant!$A$2:$A$444,C510,Daily_Merchant!$B$2:$B$444,L510)</f>
        <v/>
      </c>
      <c r="O510" s="2">
        <f>IF(AND(N510&gt;5000,K510&lt;&gt;"East"),"High-Value Merchant Day","")</f>
        <v/>
      </c>
    </row>
    <row r="511">
      <c r="A511" s="2" t="inlineStr">
        <is>
          <t>TXN200009</t>
        </is>
      </c>
      <c r="B511" s="2" t="n">
        <v>360</v>
      </c>
      <c r="C511" s="2" t="n">
        <v>32</v>
      </c>
      <c r="D511" s="12" t="n">
        <v>46035.54166666666</v>
      </c>
      <c r="E511" s="8" t="n">
        <v>1999</v>
      </c>
      <c r="F511" s="2" t="inlineStr">
        <is>
          <t>Card</t>
        </is>
      </c>
      <c r="G511" s="2" t="inlineStr">
        <is>
          <t>chargeback</t>
        </is>
      </c>
      <c r="H511" s="2" t="n">
        <v>90</v>
      </c>
      <c r="I511" s="2">
        <f>IFERROR(VLOOKUP(C511,Merchants!$A$2:$D$41,2,FALSE),"Merchant not found")</f>
        <v/>
      </c>
      <c r="J511" s="2">
        <f>IFERROR(VLOOKUP(C511,Merchants!$A$2:$D$41,3,FALSE),"Merchant not found")</f>
        <v/>
      </c>
      <c r="K511" s="2">
        <f>IFERROR(VLOOKUP(C511,Merchants!$A$2:$D$41,4,FALSE),"Merchant not found")</f>
        <v/>
      </c>
      <c r="L511" s="7">
        <f>DATE(YEAR(D511),MONTH(D511),DAY(D511))</f>
        <v/>
      </c>
      <c r="M511" s="5">
        <f>IFERROR(HLOOKUP(F511,Fee_Tiers!$B$1:$E$2,2,FALSE),"Fee tier not found")</f>
        <v/>
      </c>
      <c r="N511" s="8">
        <f>SUMIFS(Daily_Merchant!$C$2:$C$444,Daily_Merchant!$A$2:$A$444,C511,Daily_Merchant!$B$2:$B$444,L511)</f>
        <v/>
      </c>
      <c r="O511" s="2">
        <f>IF(AND(N511&gt;5000,K511&lt;&gt;"East"),"High-Value Merchant Day","")</f>
        <v/>
      </c>
    </row>
    <row r="512">
      <c r="A512" s="2" t="inlineStr">
        <is>
          <t>TXN200010</t>
        </is>
      </c>
      <c r="B512" s="2" t="n">
        <v>361</v>
      </c>
      <c r="C512" s="2" t="n">
        <v>10</v>
      </c>
      <c r="D512" s="12" t="n">
        <v>46042.29166666666</v>
      </c>
      <c r="E512" s="8" t="n">
        <v>4999</v>
      </c>
      <c r="F512" s="2" t="inlineStr">
        <is>
          <t>Card</t>
        </is>
      </c>
      <c r="G512" s="2" t="inlineStr">
        <is>
          <t>chargeback</t>
        </is>
      </c>
      <c r="H512" s="2" t="n">
        <v>95</v>
      </c>
      <c r="I512" s="2">
        <f>IFERROR(VLOOKUP(C512,Merchants!$A$2:$D$41,2,FALSE),"Merchant not found")</f>
        <v/>
      </c>
      <c r="J512" s="2">
        <f>IFERROR(VLOOKUP(C512,Merchants!$A$2:$D$41,3,FALSE),"Merchant not found")</f>
        <v/>
      </c>
      <c r="K512" s="2">
        <f>IFERROR(VLOOKUP(C512,Merchants!$A$2:$D$41,4,FALSE),"Merchant not found")</f>
        <v/>
      </c>
      <c r="L512" s="7">
        <f>DATE(YEAR(D512),MONTH(D512),DAY(D512))</f>
        <v/>
      </c>
      <c r="M512" s="5">
        <f>IFERROR(HLOOKUP(F512,Fee_Tiers!$B$1:$E$2,2,FALSE),"Fee tier not found")</f>
        <v/>
      </c>
      <c r="N512" s="8">
        <f>SUMIFS(Daily_Merchant!$C$2:$C$444,Daily_Merchant!$A$2:$A$444,C512,Daily_Merchant!$B$2:$B$444,L512)</f>
        <v/>
      </c>
      <c r="O512" s="2">
        <f>IF(AND(N512&gt;5000,K512&lt;&gt;"East"),"High-Value Merchant Day","")</f>
        <v/>
      </c>
    </row>
    <row r="513">
      <c r="A513" s="2" t="inlineStr">
        <is>
          <t>TXN200011</t>
        </is>
      </c>
      <c r="B513" s="2" t="n">
        <v>362</v>
      </c>
      <c r="C513" s="2" t="n">
        <v>39</v>
      </c>
      <c r="D513" s="12" t="n">
        <v>46045.08333333334</v>
      </c>
      <c r="E513" s="8" t="n">
        <v>4999</v>
      </c>
      <c r="F513" s="2" t="inlineStr">
        <is>
          <t>Card</t>
        </is>
      </c>
      <c r="G513" s="2" t="inlineStr">
        <is>
          <t>chargeback</t>
        </is>
      </c>
      <c r="H513" s="2" t="n">
        <v>88</v>
      </c>
      <c r="I513" s="2">
        <f>IFERROR(VLOOKUP(C513,Merchants!$A$2:$D$41,2,FALSE),"Merchant not found")</f>
        <v/>
      </c>
      <c r="J513" s="2">
        <f>IFERROR(VLOOKUP(C513,Merchants!$A$2:$D$41,3,FALSE),"Merchant not found")</f>
        <v/>
      </c>
      <c r="K513" s="2">
        <f>IFERROR(VLOOKUP(C513,Merchants!$A$2:$D$41,4,FALSE),"Merchant not found")</f>
        <v/>
      </c>
      <c r="L513" s="7">
        <f>DATE(YEAR(D513),MONTH(D513),DAY(D513))</f>
        <v/>
      </c>
      <c r="M513" s="5">
        <f>IFERROR(HLOOKUP(F513,Fee_Tiers!$B$1:$E$2,2,FALSE),"Fee tier not found")</f>
        <v/>
      </c>
      <c r="N513" s="8">
        <f>SUMIFS(Daily_Merchant!$C$2:$C$444,Daily_Merchant!$A$2:$A$444,C513,Daily_Merchant!$B$2:$B$444,L513)</f>
        <v/>
      </c>
      <c r="O513" s="2">
        <f>IF(AND(N513&gt;5000,K513&lt;&gt;"East"),"High-Value Merchant Day","")</f>
        <v/>
      </c>
    </row>
    <row r="514">
      <c r="A514" s="2" t="inlineStr">
        <is>
          <t>TXN200012</t>
        </is>
      </c>
      <c r="B514" s="2" t="n">
        <v>363</v>
      </c>
      <c r="C514" s="2" t="n">
        <v>27</v>
      </c>
      <c r="D514" s="12" t="n">
        <v>46045.70833333334</v>
      </c>
      <c r="E514" s="8" t="n">
        <v>999</v>
      </c>
      <c r="F514" s="2" t="inlineStr">
        <is>
          <t>Card</t>
        </is>
      </c>
      <c r="G514" s="2" t="inlineStr">
        <is>
          <t>chargeback</t>
        </is>
      </c>
      <c r="H514" s="2" t="n">
        <v>95</v>
      </c>
      <c r="I514" s="2">
        <f>IFERROR(VLOOKUP(C514,Merchants!$A$2:$D$41,2,FALSE),"Merchant not found")</f>
        <v/>
      </c>
      <c r="J514" s="2">
        <f>IFERROR(VLOOKUP(C514,Merchants!$A$2:$D$41,3,FALSE),"Merchant not found")</f>
        <v/>
      </c>
      <c r="K514" s="2">
        <f>IFERROR(VLOOKUP(C514,Merchants!$A$2:$D$41,4,FALSE),"Merchant not found")</f>
        <v/>
      </c>
      <c r="L514" s="7">
        <f>DATE(YEAR(D514),MONTH(D514),DAY(D514))</f>
        <v/>
      </c>
      <c r="M514" s="5">
        <f>IFERROR(HLOOKUP(F514,Fee_Tiers!$B$1:$E$2,2,FALSE),"Fee tier not found")</f>
        <v/>
      </c>
      <c r="N514" s="8">
        <f>SUMIFS(Daily_Merchant!$C$2:$C$444,Daily_Merchant!$A$2:$A$444,C514,Daily_Merchant!$B$2:$B$444,L514)</f>
        <v/>
      </c>
      <c r="O514" s="2">
        <f>IF(AND(N514&gt;5000,K514&lt;&gt;"East"),"High-Value Merchant Day","")</f>
        <v/>
      </c>
    </row>
    <row r="515">
      <c r="A515" s="2" t="inlineStr">
        <is>
          <t>TXN200013</t>
        </is>
      </c>
      <c r="B515" s="2" t="n">
        <v>364</v>
      </c>
      <c r="C515" s="2" t="n">
        <v>39</v>
      </c>
      <c r="D515" s="12" t="n">
        <v>46044.91666666666</v>
      </c>
      <c r="E515" s="8" t="n">
        <v>999</v>
      </c>
      <c r="F515" s="2" t="inlineStr">
        <is>
          <t>Card</t>
        </is>
      </c>
      <c r="G515" s="2" t="inlineStr">
        <is>
          <t>chargeback</t>
        </is>
      </c>
      <c r="H515" s="2" t="n">
        <v>73</v>
      </c>
      <c r="I515" s="2">
        <f>IFERROR(VLOOKUP(C515,Merchants!$A$2:$D$41,2,FALSE),"Merchant not found")</f>
        <v/>
      </c>
      <c r="J515" s="2">
        <f>IFERROR(VLOOKUP(C515,Merchants!$A$2:$D$41,3,FALSE),"Merchant not found")</f>
        <v/>
      </c>
      <c r="K515" s="2">
        <f>IFERROR(VLOOKUP(C515,Merchants!$A$2:$D$41,4,FALSE),"Merchant not found")</f>
        <v/>
      </c>
      <c r="L515" s="7">
        <f>DATE(YEAR(D515),MONTH(D515),DAY(D515))</f>
        <v/>
      </c>
      <c r="M515" s="5">
        <f>IFERROR(HLOOKUP(F515,Fee_Tiers!$B$1:$E$2,2,FALSE),"Fee tier not found")</f>
        <v/>
      </c>
      <c r="N515" s="8">
        <f>SUMIFS(Daily_Merchant!$C$2:$C$444,Daily_Merchant!$A$2:$A$444,C515,Daily_Merchant!$B$2:$B$444,L515)</f>
        <v/>
      </c>
      <c r="O515" s="2">
        <f>IF(AND(N515&gt;5000,K515&lt;&gt;"East"),"High-Value Merchant Day","")</f>
        <v/>
      </c>
    </row>
    <row r="516">
      <c r="A516" s="2" t="inlineStr">
        <is>
          <t>TXN200014</t>
        </is>
      </c>
      <c r="B516" s="2" t="n">
        <v>365</v>
      </c>
      <c r="C516" s="2" t="n">
        <v>23</v>
      </c>
      <c r="D516" s="12" t="n">
        <v>46040.875</v>
      </c>
      <c r="E516" s="8" t="n">
        <v>1999</v>
      </c>
      <c r="F516" s="2" t="inlineStr">
        <is>
          <t>Card</t>
        </is>
      </c>
      <c r="G516" s="2" t="inlineStr">
        <is>
          <t>chargeback</t>
        </is>
      </c>
      <c r="H516" s="2" t="n">
        <v>90</v>
      </c>
      <c r="I516" s="2">
        <f>IFERROR(VLOOKUP(C516,Merchants!$A$2:$D$41,2,FALSE),"Merchant not found")</f>
        <v/>
      </c>
      <c r="J516" s="2">
        <f>IFERROR(VLOOKUP(C516,Merchants!$A$2:$D$41,3,FALSE),"Merchant not found")</f>
        <v/>
      </c>
      <c r="K516" s="2">
        <f>IFERROR(VLOOKUP(C516,Merchants!$A$2:$D$41,4,FALSE),"Merchant not found")</f>
        <v/>
      </c>
      <c r="L516" s="7">
        <f>DATE(YEAR(D516),MONTH(D516),DAY(D516))</f>
        <v/>
      </c>
      <c r="M516" s="5">
        <f>IFERROR(HLOOKUP(F516,Fee_Tiers!$B$1:$E$2,2,FALSE),"Fee tier not found")</f>
        <v/>
      </c>
      <c r="N516" s="8">
        <f>SUMIFS(Daily_Merchant!$C$2:$C$444,Daily_Merchant!$A$2:$A$444,C516,Daily_Merchant!$B$2:$B$444,L516)</f>
        <v/>
      </c>
      <c r="O516" s="2">
        <f>IF(AND(N516&gt;5000,K516&lt;&gt;"East"),"High-Value Merchant Day","")</f>
        <v/>
      </c>
    </row>
    <row r="517">
      <c r="A517" s="2" t="inlineStr">
        <is>
          <t>TXN300000</t>
        </is>
      </c>
      <c r="B517" s="2" t="n">
        <v>314</v>
      </c>
      <c r="C517" s="2" t="n">
        <v>26</v>
      </c>
      <c r="D517" s="12" t="n">
        <v>46024.75</v>
      </c>
      <c r="E517" s="8" t="n">
        <v>399</v>
      </c>
      <c r="F517" s="2" t="inlineStr">
        <is>
          <t>Card</t>
        </is>
      </c>
      <c r="G517" s="2" t="inlineStr">
        <is>
          <t>failed</t>
        </is>
      </c>
      <c r="H517" s="2" t="n">
        <v>87</v>
      </c>
      <c r="I517" s="2">
        <f>IFERROR(VLOOKUP(C517,Merchants!$A$2:$D$41,2,FALSE),"Merchant not found")</f>
        <v/>
      </c>
      <c r="J517" s="2">
        <f>IFERROR(VLOOKUP(C517,Merchants!$A$2:$D$41,3,FALSE),"Merchant not found")</f>
        <v/>
      </c>
      <c r="K517" s="2">
        <f>IFERROR(VLOOKUP(C517,Merchants!$A$2:$D$41,4,FALSE),"Merchant not found")</f>
        <v/>
      </c>
      <c r="L517" s="7">
        <f>DATE(YEAR(D517),MONTH(D517),DAY(D517))</f>
        <v/>
      </c>
      <c r="M517" s="5">
        <f>IFERROR(HLOOKUP(F517,Fee_Tiers!$B$1:$E$2,2,FALSE),"Fee tier not found")</f>
        <v/>
      </c>
      <c r="N517" s="8">
        <f>SUMIFS(Daily_Merchant!$C$2:$C$444,Daily_Merchant!$A$2:$A$444,C517,Daily_Merchant!$B$2:$B$444,L517)</f>
        <v/>
      </c>
      <c r="O517" s="2">
        <f>IF(AND(N517&gt;5000,K517&lt;&gt;"East"),"High-Value Merchant Day","")</f>
        <v/>
      </c>
    </row>
    <row r="518">
      <c r="A518" s="2" t="inlineStr">
        <is>
          <t>TXN300001</t>
        </is>
      </c>
      <c r="B518" s="2" t="n">
        <v>314</v>
      </c>
      <c r="C518" s="2" t="n">
        <v>7</v>
      </c>
      <c r="D518" s="12" t="n">
        <v>46024.75069444445</v>
      </c>
      <c r="E518" s="8" t="n">
        <v>299</v>
      </c>
      <c r="F518" s="2" t="inlineStr">
        <is>
          <t>Card</t>
        </is>
      </c>
      <c r="G518" s="2" t="inlineStr">
        <is>
          <t>failed</t>
        </is>
      </c>
      <c r="H518" s="2" t="n">
        <v>66</v>
      </c>
      <c r="I518" s="2">
        <f>IFERROR(VLOOKUP(C518,Merchants!$A$2:$D$41,2,FALSE),"Merchant not found")</f>
        <v/>
      </c>
      <c r="J518" s="2">
        <f>IFERROR(VLOOKUP(C518,Merchants!$A$2:$D$41,3,FALSE),"Merchant not found")</f>
        <v/>
      </c>
      <c r="K518" s="2">
        <f>IFERROR(VLOOKUP(C518,Merchants!$A$2:$D$41,4,FALSE),"Merchant not found")</f>
        <v/>
      </c>
      <c r="L518" s="7">
        <f>DATE(YEAR(D518),MONTH(D518),DAY(D518))</f>
        <v/>
      </c>
      <c r="M518" s="5">
        <f>IFERROR(HLOOKUP(F518,Fee_Tiers!$B$1:$E$2,2,FALSE),"Fee tier not found")</f>
        <v/>
      </c>
      <c r="N518" s="8">
        <f>SUMIFS(Daily_Merchant!$C$2:$C$444,Daily_Merchant!$A$2:$A$444,C518,Daily_Merchant!$B$2:$B$444,L518)</f>
        <v/>
      </c>
      <c r="O518" s="2">
        <f>IF(AND(N518&gt;5000,K518&lt;&gt;"East"),"High-Value Merchant Day","")</f>
        <v/>
      </c>
    </row>
    <row r="519">
      <c r="A519" s="2" t="inlineStr">
        <is>
          <t>TXN300002</t>
        </is>
      </c>
      <c r="B519" s="2" t="n">
        <v>314</v>
      </c>
      <c r="C519" s="2" t="n">
        <v>17</v>
      </c>
      <c r="D519" s="12" t="n">
        <v>46024.75138888889</v>
      </c>
      <c r="E519" s="8" t="n">
        <v>299</v>
      </c>
      <c r="F519" s="2" t="inlineStr">
        <is>
          <t>Card</t>
        </is>
      </c>
      <c r="G519" s="2" t="inlineStr">
        <is>
          <t>failed</t>
        </is>
      </c>
      <c r="H519" s="2" t="n">
        <v>92</v>
      </c>
      <c r="I519" s="2">
        <f>IFERROR(VLOOKUP(C519,Merchants!$A$2:$D$41,2,FALSE),"Merchant not found")</f>
        <v/>
      </c>
      <c r="J519" s="2">
        <f>IFERROR(VLOOKUP(C519,Merchants!$A$2:$D$41,3,FALSE),"Merchant not found")</f>
        <v/>
      </c>
      <c r="K519" s="2">
        <f>IFERROR(VLOOKUP(C519,Merchants!$A$2:$D$41,4,FALSE),"Merchant not found")</f>
        <v/>
      </c>
      <c r="L519" s="7">
        <f>DATE(YEAR(D519),MONTH(D519),DAY(D519))</f>
        <v/>
      </c>
      <c r="M519" s="5">
        <f>IFERROR(HLOOKUP(F519,Fee_Tiers!$B$1:$E$2,2,FALSE),"Fee tier not found")</f>
        <v/>
      </c>
      <c r="N519" s="8">
        <f>SUMIFS(Daily_Merchant!$C$2:$C$444,Daily_Merchant!$A$2:$A$444,C519,Daily_Merchant!$B$2:$B$444,L519)</f>
        <v/>
      </c>
      <c r="O519" s="2">
        <f>IF(AND(N519&gt;5000,K519&lt;&gt;"East"),"High-Value Merchant Day","")</f>
        <v/>
      </c>
    </row>
    <row r="520">
      <c r="A520" s="2" t="inlineStr">
        <is>
          <t>TXN300003</t>
        </is>
      </c>
      <c r="B520" s="2" t="n">
        <v>314</v>
      </c>
      <c r="C520" s="2" t="n">
        <v>34</v>
      </c>
      <c r="D520" s="12" t="n">
        <v>46024.75208333333</v>
      </c>
      <c r="E520" s="8" t="n">
        <v>499</v>
      </c>
      <c r="F520" s="2" t="inlineStr">
        <is>
          <t>Card</t>
        </is>
      </c>
      <c r="G520" s="2" t="inlineStr">
        <is>
          <t>captured</t>
        </is>
      </c>
      <c r="H520" s="2" t="n">
        <v>74</v>
      </c>
      <c r="I520" s="2">
        <f>IFERROR(VLOOKUP(C520,Merchants!$A$2:$D$41,2,FALSE),"Merchant not found")</f>
        <v/>
      </c>
      <c r="J520" s="2">
        <f>IFERROR(VLOOKUP(C520,Merchants!$A$2:$D$41,3,FALSE),"Merchant not found")</f>
        <v/>
      </c>
      <c r="K520" s="2">
        <f>IFERROR(VLOOKUP(C520,Merchants!$A$2:$D$41,4,FALSE),"Merchant not found")</f>
        <v/>
      </c>
      <c r="L520" s="7">
        <f>DATE(YEAR(D520),MONTH(D520),DAY(D520))</f>
        <v/>
      </c>
      <c r="M520" s="5">
        <f>IFERROR(HLOOKUP(F520,Fee_Tiers!$B$1:$E$2,2,FALSE),"Fee tier not found")</f>
        <v/>
      </c>
      <c r="N520" s="8">
        <f>SUMIFS(Daily_Merchant!$C$2:$C$444,Daily_Merchant!$A$2:$A$444,C520,Daily_Merchant!$B$2:$B$444,L520)</f>
        <v/>
      </c>
      <c r="O520" s="2">
        <f>IF(AND(N520&gt;5000,K520&lt;&gt;"East"),"High-Value Merchant Day","")</f>
        <v/>
      </c>
    </row>
    <row r="521">
      <c r="A521" s="2" t="inlineStr">
        <is>
          <t>TXN300004</t>
        </is>
      </c>
      <c r="B521" s="2" t="n">
        <v>229</v>
      </c>
      <c r="C521" s="2" t="n">
        <v>30</v>
      </c>
      <c r="D521" s="12" t="n">
        <v>46034.5</v>
      </c>
      <c r="E521" s="8" t="n">
        <v>499</v>
      </c>
      <c r="F521" s="2" t="inlineStr">
        <is>
          <t>Card</t>
        </is>
      </c>
      <c r="G521" s="2" t="inlineStr">
        <is>
          <t>failed</t>
        </is>
      </c>
      <c r="H521" s="2" t="n">
        <v>92</v>
      </c>
      <c r="I521" s="2">
        <f>IFERROR(VLOOKUP(C521,Merchants!$A$2:$D$41,2,FALSE),"Merchant not found")</f>
        <v/>
      </c>
      <c r="J521" s="2">
        <f>IFERROR(VLOOKUP(C521,Merchants!$A$2:$D$41,3,FALSE),"Merchant not found")</f>
        <v/>
      </c>
      <c r="K521" s="2">
        <f>IFERROR(VLOOKUP(C521,Merchants!$A$2:$D$41,4,FALSE),"Merchant not found")</f>
        <v/>
      </c>
      <c r="L521" s="7">
        <f>DATE(YEAR(D521),MONTH(D521),DAY(D521))</f>
        <v/>
      </c>
      <c r="M521" s="5">
        <f>IFERROR(HLOOKUP(F521,Fee_Tiers!$B$1:$E$2,2,FALSE),"Fee tier not found")</f>
        <v/>
      </c>
      <c r="N521" s="8">
        <f>SUMIFS(Daily_Merchant!$C$2:$C$444,Daily_Merchant!$A$2:$A$444,C521,Daily_Merchant!$B$2:$B$444,L521)</f>
        <v/>
      </c>
      <c r="O521" s="2">
        <f>IF(AND(N521&gt;5000,K521&lt;&gt;"East"),"High-Value Merchant Day","")</f>
        <v/>
      </c>
    </row>
    <row r="522">
      <c r="A522" s="2" t="inlineStr">
        <is>
          <t>TXN300005</t>
        </is>
      </c>
      <c r="B522" s="2" t="n">
        <v>229</v>
      </c>
      <c r="C522" s="2" t="n">
        <v>10</v>
      </c>
      <c r="D522" s="12" t="n">
        <v>46034.50069444445</v>
      </c>
      <c r="E522" s="8" t="n">
        <v>399</v>
      </c>
      <c r="F522" s="2" t="inlineStr">
        <is>
          <t>Card</t>
        </is>
      </c>
      <c r="G522" s="2" t="inlineStr">
        <is>
          <t>failed</t>
        </is>
      </c>
      <c r="H522" s="2" t="n">
        <v>61</v>
      </c>
      <c r="I522" s="2">
        <f>IFERROR(VLOOKUP(C522,Merchants!$A$2:$D$41,2,FALSE),"Merchant not found")</f>
        <v/>
      </c>
      <c r="J522" s="2">
        <f>IFERROR(VLOOKUP(C522,Merchants!$A$2:$D$41,3,FALSE),"Merchant not found")</f>
        <v/>
      </c>
      <c r="K522" s="2">
        <f>IFERROR(VLOOKUP(C522,Merchants!$A$2:$D$41,4,FALSE),"Merchant not found")</f>
        <v/>
      </c>
      <c r="L522" s="7">
        <f>DATE(YEAR(D522),MONTH(D522),DAY(D522))</f>
        <v/>
      </c>
      <c r="M522" s="5">
        <f>IFERROR(HLOOKUP(F522,Fee_Tiers!$B$1:$E$2,2,FALSE),"Fee tier not found")</f>
        <v/>
      </c>
      <c r="N522" s="8">
        <f>SUMIFS(Daily_Merchant!$C$2:$C$444,Daily_Merchant!$A$2:$A$444,C522,Daily_Merchant!$B$2:$B$444,L522)</f>
        <v/>
      </c>
      <c r="O522" s="2">
        <f>IF(AND(N522&gt;5000,K522&lt;&gt;"East"),"High-Value Merchant Day","")</f>
        <v/>
      </c>
    </row>
    <row r="523">
      <c r="A523" s="2" t="inlineStr">
        <is>
          <t>TXN300006</t>
        </is>
      </c>
      <c r="B523" s="2" t="n">
        <v>229</v>
      </c>
      <c r="C523" s="2" t="n">
        <v>31</v>
      </c>
      <c r="D523" s="12" t="n">
        <v>46034.50138888889</v>
      </c>
      <c r="E523" s="8" t="n">
        <v>299</v>
      </c>
      <c r="F523" s="2" t="inlineStr">
        <is>
          <t>Card</t>
        </is>
      </c>
      <c r="G523" s="2" t="inlineStr">
        <is>
          <t>failed</t>
        </is>
      </c>
      <c r="H523" s="2" t="n">
        <v>78</v>
      </c>
      <c r="I523" s="2">
        <f>IFERROR(VLOOKUP(C523,Merchants!$A$2:$D$41,2,FALSE),"Merchant not found")</f>
        <v/>
      </c>
      <c r="J523" s="2">
        <f>IFERROR(VLOOKUP(C523,Merchants!$A$2:$D$41,3,FALSE),"Merchant not found")</f>
        <v/>
      </c>
      <c r="K523" s="2">
        <f>IFERROR(VLOOKUP(C523,Merchants!$A$2:$D$41,4,FALSE),"Merchant not found")</f>
        <v/>
      </c>
      <c r="L523" s="7">
        <f>DATE(YEAR(D523),MONTH(D523),DAY(D523))</f>
        <v/>
      </c>
      <c r="M523" s="5">
        <f>IFERROR(HLOOKUP(F523,Fee_Tiers!$B$1:$E$2,2,FALSE),"Fee tier not found")</f>
        <v/>
      </c>
      <c r="N523" s="8">
        <f>SUMIFS(Daily_Merchant!$C$2:$C$444,Daily_Merchant!$A$2:$A$444,C523,Daily_Merchant!$B$2:$B$444,L523)</f>
        <v/>
      </c>
      <c r="O523" s="2">
        <f>IF(AND(N523&gt;5000,K523&lt;&gt;"East"),"High-Value Merchant Day","")</f>
        <v/>
      </c>
    </row>
    <row r="524">
      <c r="A524" s="2" t="inlineStr">
        <is>
          <t>TXN300007</t>
        </is>
      </c>
      <c r="B524" s="2" t="n">
        <v>229</v>
      </c>
      <c r="C524" s="2" t="n">
        <v>27</v>
      </c>
      <c r="D524" s="12" t="n">
        <v>46034.50208333333</v>
      </c>
      <c r="E524" s="8" t="n">
        <v>299</v>
      </c>
      <c r="F524" s="2" t="inlineStr">
        <is>
          <t>Card</t>
        </is>
      </c>
      <c r="G524" s="2" t="inlineStr">
        <is>
          <t>captured</t>
        </is>
      </c>
      <c r="H524" s="2" t="n">
        <v>67</v>
      </c>
      <c r="I524" s="2">
        <f>IFERROR(VLOOKUP(C524,Merchants!$A$2:$D$41,2,FALSE),"Merchant not found")</f>
        <v/>
      </c>
      <c r="J524" s="2">
        <f>IFERROR(VLOOKUP(C524,Merchants!$A$2:$D$41,3,FALSE),"Merchant not found")</f>
        <v/>
      </c>
      <c r="K524" s="2">
        <f>IFERROR(VLOOKUP(C524,Merchants!$A$2:$D$41,4,FALSE),"Merchant not found")</f>
        <v/>
      </c>
      <c r="L524" s="7">
        <f>DATE(YEAR(D524),MONTH(D524),DAY(D524))</f>
        <v/>
      </c>
      <c r="M524" s="5">
        <f>IFERROR(HLOOKUP(F524,Fee_Tiers!$B$1:$E$2,2,FALSE),"Fee tier not found")</f>
        <v/>
      </c>
      <c r="N524" s="8">
        <f>SUMIFS(Daily_Merchant!$C$2:$C$444,Daily_Merchant!$A$2:$A$444,C524,Daily_Merchant!$B$2:$B$444,L524)</f>
        <v/>
      </c>
      <c r="O524" s="2">
        <f>IF(AND(N524&gt;5000,K524&lt;&gt;"East"),"High-Value Merchant Day","")</f>
        <v/>
      </c>
    </row>
    <row r="525">
      <c r="A525" s="2" t="inlineStr">
        <is>
          <t>TXN300008</t>
        </is>
      </c>
      <c r="B525" s="2" t="n">
        <v>73</v>
      </c>
      <c r="C525" s="2" t="n">
        <v>22</v>
      </c>
      <c r="D525" s="12" t="n">
        <v>46034.375</v>
      </c>
      <c r="E525" s="8" t="n">
        <v>399</v>
      </c>
      <c r="F525" s="2" t="inlineStr">
        <is>
          <t>Card</t>
        </is>
      </c>
      <c r="G525" s="2" t="inlineStr">
        <is>
          <t>failed</t>
        </is>
      </c>
      <c r="H525" s="2" t="n">
        <v>73</v>
      </c>
      <c r="I525" s="2">
        <f>IFERROR(VLOOKUP(C525,Merchants!$A$2:$D$41,2,FALSE),"Merchant not found")</f>
        <v/>
      </c>
      <c r="J525" s="2">
        <f>IFERROR(VLOOKUP(C525,Merchants!$A$2:$D$41,3,FALSE),"Merchant not found")</f>
        <v/>
      </c>
      <c r="K525" s="2">
        <f>IFERROR(VLOOKUP(C525,Merchants!$A$2:$D$41,4,FALSE),"Merchant not found")</f>
        <v/>
      </c>
      <c r="L525" s="7">
        <f>DATE(YEAR(D525),MONTH(D525),DAY(D525))</f>
        <v/>
      </c>
      <c r="M525" s="5">
        <f>IFERROR(HLOOKUP(F525,Fee_Tiers!$B$1:$E$2,2,FALSE),"Fee tier not found")</f>
        <v/>
      </c>
      <c r="N525" s="8">
        <f>SUMIFS(Daily_Merchant!$C$2:$C$444,Daily_Merchant!$A$2:$A$444,C525,Daily_Merchant!$B$2:$B$444,L525)</f>
        <v/>
      </c>
      <c r="O525" s="2">
        <f>IF(AND(N525&gt;5000,K525&lt;&gt;"East"),"High-Value Merchant Day","")</f>
        <v/>
      </c>
    </row>
    <row r="526">
      <c r="A526" s="2" t="inlineStr">
        <is>
          <t>TXN300009</t>
        </is>
      </c>
      <c r="B526" s="2" t="n">
        <v>73</v>
      </c>
      <c r="C526" s="2" t="n">
        <v>34</v>
      </c>
      <c r="D526" s="12" t="n">
        <v>46034.37569444445</v>
      </c>
      <c r="E526" s="8" t="n">
        <v>399</v>
      </c>
      <c r="F526" s="2" t="inlineStr">
        <is>
          <t>Card</t>
        </is>
      </c>
      <c r="G526" s="2" t="inlineStr">
        <is>
          <t>failed</t>
        </is>
      </c>
      <c r="H526" s="2" t="n">
        <v>82</v>
      </c>
      <c r="I526" s="2">
        <f>IFERROR(VLOOKUP(C526,Merchants!$A$2:$D$41,2,FALSE),"Merchant not found")</f>
        <v/>
      </c>
      <c r="J526" s="2">
        <f>IFERROR(VLOOKUP(C526,Merchants!$A$2:$D$41,3,FALSE),"Merchant not found")</f>
        <v/>
      </c>
      <c r="K526" s="2">
        <f>IFERROR(VLOOKUP(C526,Merchants!$A$2:$D$41,4,FALSE),"Merchant not found")</f>
        <v/>
      </c>
      <c r="L526" s="7">
        <f>DATE(YEAR(D526),MONTH(D526),DAY(D526))</f>
        <v/>
      </c>
      <c r="M526" s="5">
        <f>IFERROR(HLOOKUP(F526,Fee_Tiers!$B$1:$E$2,2,FALSE),"Fee tier not found")</f>
        <v/>
      </c>
      <c r="N526" s="8">
        <f>SUMIFS(Daily_Merchant!$C$2:$C$444,Daily_Merchant!$A$2:$A$444,C526,Daily_Merchant!$B$2:$B$444,L526)</f>
        <v/>
      </c>
      <c r="O526" s="2">
        <f>IF(AND(N526&gt;5000,K526&lt;&gt;"East"),"High-Value Merchant Day","")</f>
        <v/>
      </c>
    </row>
    <row r="527">
      <c r="A527" s="2" t="inlineStr">
        <is>
          <t>TXN300010</t>
        </is>
      </c>
      <c r="B527" s="2" t="n">
        <v>73</v>
      </c>
      <c r="C527" s="2" t="n">
        <v>31</v>
      </c>
      <c r="D527" s="12" t="n">
        <v>46034.37638888889</v>
      </c>
      <c r="E527" s="8" t="n">
        <v>299</v>
      </c>
      <c r="F527" s="2" t="inlineStr">
        <is>
          <t>Card</t>
        </is>
      </c>
      <c r="G527" s="2" t="inlineStr">
        <is>
          <t>failed</t>
        </is>
      </c>
      <c r="H527" s="2" t="n">
        <v>88</v>
      </c>
      <c r="I527" s="2">
        <f>IFERROR(VLOOKUP(C527,Merchants!$A$2:$D$41,2,FALSE),"Merchant not found")</f>
        <v/>
      </c>
      <c r="J527" s="2">
        <f>IFERROR(VLOOKUP(C527,Merchants!$A$2:$D$41,3,FALSE),"Merchant not found")</f>
        <v/>
      </c>
      <c r="K527" s="2">
        <f>IFERROR(VLOOKUP(C527,Merchants!$A$2:$D$41,4,FALSE),"Merchant not found")</f>
        <v/>
      </c>
      <c r="L527" s="7">
        <f>DATE(YEAR(D527),MONTH(D527),DAY(D527))</f>
        <v/>
      </c>
      <c r="M527" s="5">
        <f>IFERROR(HLOOKUP(F527,Fee_Tiers!$B$1:$E$2,2,FALSE),"Fee tier not found")</f>
        <v/>
      </c>
      <c r="N527" s="8">
        <f>SUMIFS(Daily_Merchant!$C$2:$C$444,Daily_Merchant!$A$2:$A$444,C527,Daily_Merchant!$B$2:$B$444,L527)</f>
        <v/>
      </c>
      <c r="O527" s="2">
        <f>IF(AND(N527&gt;5000,K527&lt;&gt;"East"),"High-Value Merchant Day","")</f>
        <v/>
      </c>
    </row>
    <row r="528">
      <c r="A528" s="2" t="inlineStr">
        <is>
          <t>TXN300011</t>
        </is>
      </c>
      <c r="B528" s="2" t="n">
        <v>73</v>
      </c>
      <c r="C528" s="2" t="n">
        <v>29</v>
      </c>
      <c r="D528" s="12" t="n">
        <v>46034.37708333333</v>
      </c>
      <c r="E528" s="8" t="n">
        <v>399</v>
      </c>
      <c r="F528" s="2" t="inlineStr">
        <is>
          <t>Card</t>
        </is>
      </c>
      <c r="G528" s="2" t="inlineStr">
        <is>
          <t>captured</t>
        </is>
      </c>
      <c r="H528" s="2" t="n">
        <v>64</v>
      </c>
      <c r="I528" s="2">
        <f>IFERROR(VLOOKUP(C528,Merchants!$A$2:$D$41,2,FALSE),"Merchant not found")</f>
        <v/>
      </c>
      <c r="J528" s="2">
        <f>IFERROR(VLOOKUP(C528,Merchants!$A$2:$D$41,3,FALSE),"Merchant not found")</f>
        <v/>
      </c>
      <c r="K528" s="2">
        <f>IFERROR(VLOOKUP(C528,Merchants!$A$2:$D$41,4,FALSE),"Merchant not found")</f>
        <v/>
      </c>
      <c r="L528" s="7">
        <f>DATE(YEAR(D528),MONTH(D528),DAY(D528))</f>
        <v/>
      </c>
      <c r="M528" s="5">
        <f>IFERROR(HLOOKUP(F528,Fee_Tiers!$B$1:$E$2,2,FALSE),"Fee tier not found")</f>
        <v/>
      </c>
      <c r="N528" s="8">
        <f>SUMIFS(Daily_Merchant!$C$2:$C$444,Daily_Merchant!$A$2:$A$444,C528,Daily_Merchant!$B$2:$B$444,L528)</f>
        <v/>
      </c>
      <c r="O528" s="2">
        <f>IF(AND(N528&gt;5000,K528&lt;&gt;"East"),"High-Value Merchant Day","")</f>
        <v/>
      </c>
    </row>
    <row r="529">
      <c r="A529" s="2" t="inlineStr">
        <is>
          <t>TXN300012</t>
        </is>
      </c>
      <c r="B529" s="2" t="n">
        <v>154</v>
      </c>
      <c r="C529" s="2" t="n">
        <v>8</v>
      </c>
      <c r="D529" s="12" t="n">
        <v>46024.91666666666</v>
      </c>
      <c r="E529" s="8" t="n">
        <v>299</v>
      </c>
      <c r="F529" s="2" t="inlineStr">
        <is>
          <t>Card</t>
        </is>
      </c>
      <c r="G529" s="2" t="inlineStr">
        <is>
          <t>failed</t>
        </is>
      </c>
      <c r="H529" s="2" t="n">
        <v>81</v>
      </c>
      <c r="I529" s="2">
        <f>IFERROR(VLOOKUP(C529,Merchants!$A$2:$D$41,2,FALSE),"Merchant not found")</f>
        <v/>
      </c>
      <c r="J529" s="2">
        <f>IFERROR(VLOOKUP(C529,Merchants!$A$2:$D$41,3,FALSE),"Merchant not found")</f>
        <v/>
      </c>
      <c r="K529" s="2">
        <f>IFERROR(VLOOKUP(C529,Merchants!$A$2:$D$41,4,FALSE),"Merchant not found")</f>
        <v/>
      </c>
      <c r="L529" s="7">
        <f>DATE(YEAR(D529),MONTH(D529),DAY(D529))</f>
        <v/>
      </c>
      <c r="M529" s="5">
        <f>IFERROR(HLOOKUP(F529,Fee_Tiers!$B$1:$E$2,2,FALSE),"Fee tier not found")</f>
        <v/>
      </c>
      <c r="N529" s="8">
        <f>SUMIFS(Daily_Merchant!$C$2:$C$444,Daily_Merchant!$A$2:$A$444,C529,Daily_Merchant!$B$2:$B$444,L529)</f>
        <v/>
      </c>
      <c r="O529" s="2">
        <f>IF(AND(N529&gt;5000,K529&lt;&gt;"East"),"High-Value Merchant Day","")</f>
        <v/>
      </c>
    </row>
    <row r="530">
      <c r="A530" s="2" t="inlineStr">
        <is>
          <t>TXN300013</t>
        </is>
      </c>
      <c r="B530" s="2" t="n">
        <v>154</v>
      </c>
      <c r="C530" s="2" t="n">
        <v>7</v>
      </c>
      <c r="D530" s="12" t="n">
        <v>46024.91736111111</v>
      </c>
      <c r="E530" s="8" t="n">
        <v>499</v>
      </c>
      <c r="F530" s="2" t="inlineStr">
        <is>
          <t>Card</t>
        </is>
      </c>
      <c r="G530" s="2" t="inlineStr">
        <is>
          <t>failed</t>
        </is>
      </c>
      <c r="H530" s="2" t="n">
        <v>70</v>
      </c>
      <c r="I530" s="2">
        <f>IFERROR(VLOOKUP(C530,Merchants!$A$2:$D$41,2,FALSE),"Merchant not found")</f>
        <v/>
      </c>
      <c r="J530" s="2">
        <f>IFERROR(VLOOKUP(C530,Merchants!$A$2:$D$41,3,FALSE),"Merchant not found")</f>
        <v/>
      </c>
      <c r="K530" s="2">
        <f>IFERROR(VLOOKUP(C530,Merchants!$A$2:$D$41,4,FALSE),"Merchant not found")</f>
        <v/>
      </c>
      <c r="L530" s="7">
        <f>DATE(YEAR(D530),MONTH(D530),DAY(D530))</f>
        <v/>
      </c>
      <c r="M530" s="5">
        <f>IFERROR(HLOOKUP(F530,Fee_Tiers!$B$1:$E$2,2,FALSE),"Fee tier not found")</f>
        <v/>
      </c>
      <c r="N530" s="8">
        <f>SUMIFS(Daily_Merchant!$C$2:$C$444,Daily_Merchant!$A$2:$A$444,C530,Daily_Merchant!$B$2:$B$444,L530)</f>
        <v/>
      </c>
      <c r="O530" s="2">
        <f>IF(AND(N530&gt;5000,K530&lt;&gt;"East"),"High-Value Merchant Day","")</f>
        <v/>
      </c>
    </row>
    <row r="531">
      <c r="A531" s="2" t="inlineStr">
        <is>
          <t>TXN300014</t>
        </is>
      </c>
      <c r="B531" s="2" t="n">
        <v>154</v>
      </c>
      <c r="C531" s="2" t="n">
        <v>16</v>
      </c>
      <c r="D531" s="12" t="n">
        <v>46024.91805555556</v>
      </c>
      <c r="E531" s="8" t="n">
        <v>499</v>
      </c>
      <c r="F531" s="2" t="inlineStr">
        <is>
          <t>Card</t>
        </is>
      </c>
      <c r="G531" s="2" t="inlineStr">
        <is>
          <t>failed</t>
        </is>
      </c>
      <c r="H531" s="2" t="n">
        <v>71</v>
      </c>
      <c r="I531" s="2">
        <f>IFERROR(VLOOKUP(C531,Merchants!$A$2:$D$41,2,FALSE),"Merchant not found")</f>
        <v/>
      </c>
      <c r="J531" s="2">
        <f>IFERROR(VLOOKUP(C531,Merchants!$A$2:$D$41,3,FALSE),"Merchant not found")</f>
        <v/>
      </c>
      <c r="K531" s="2">
        <f>IFERROR(VLOOKUP(C531,Merchants!$A$2:$D$41,4,FALSE),"Merchant not found")</f>
        <v/>
      </c>
      <c r="L531" s="7">
        <f>DATE(YEAR(D531),MONTH(D531),DAY(D531))</f>
        <v/>
      </c>
      <c r="M531" s="5">
        <f>IFERROR(HLOOKUP(F531,Fee_Tiers!$B$1:$E$2,2,FALSE),"Fee tier not found")</f>
        <v/>
      </c>
      <c r="N531" s="8">
        <f>SUMIFS(Daily_Merchant!$C$2:$C$444,Daily_Merchant!$A$2:$A$444,C531,Daily_Merchant!$B$2:$B$444,L531)</f>
        <v/>
      </c>
      <c r="O531" s="2">
        <f>IF(AND(N531&gt;5000,K531&lt;&gt;"East"),"High-Value Merchant Day","")</f>
        <v/>
      </c>
    </row>
    <row r="532">
      <c r="A532" s="2" t="inlineStr">
        <is>
          <t>TXN300015</t>
        </is>
      </c>
      <c r="B532" s="2" t="n">
        <v>154</v>
      </c>
      <c r="C532" s="2" t="n">
        <v>36</v>
      </c>
      <c r="D532" s="12" t="n">
        <v>46024.91875</v>
      </c>
      <c r="E532" s="8" t="n">
        <v>299</v>
      </c>
      <c r="F532" s="2" t="inlineStr">
        <is>
          <t>Card</t>
        </is>
      </c>
      <c r="G532" s="2" t="inlineStr">
        <is>
          <t>captured</t>
        </is>
      </c>
      <c r="H532" s="2" t="n">
        <v>81</v>
      </c>
      <c r="I532" s="2">
        <f>IFERROR(VLOOKUP(C532,Merchants!$A$2:$D$41,2,FALSE),"Merchant not found")</f>
        <v/>
      </c>
      <c r="J532" s="2">
        <f>IFERROR(VLOOKUP(C532,Merchants!$A$2:$D$41,3,FALSE),"Merchant not found")</f>
        <v/>
      </c>
      <c r="K532" s="2">
        <f>IFERROR(VLOOKUP(C532,Merchants!$A$2:$D$41,4,FALSE),"Merchant not found")</f>
        <v/>
      </c>
      <c r="L532" s="7">
        <f>DATE(YEAR(D532),MONTH(D532),DAY(D532))</f>
        <v/>
      </c>
      <c r="M532" s="5">
        <f>IFERROR(HLOOKUP(F532,Fee_Tiers!$B$1:$E$2,2,FALSE),"Fee tier not found")</f>
        <v/>
      </c>
      <c r="N532" s="8">
        <f>SUMIFS(Daily_Merchant!$C$2:$C$444,Daily_Merchant!$A$2:$A$444,C532,Daily_Merchant!$B$2:$B$444,L532)</f>
        <v/>
      </c>
      <c r="O532" s="2">
        <f>IF(AND(N532&gt;5000,K532&lt;&gt;"East"),"High-Value Merchant Day","")</f>
        <v/>
      </c>
    </row>
    <row r="533">
      <c r="A533" s="2" t="inlineStr">
        <is>
          <t>TXN300016</t>
        </is>
      </c>
      <c r="B533" s="2" t="n">
        <v>287</v>
      </c>
      <c r="C533" s="2" t="n">
        <v>15</v>
      </c>
      <c r="D533" s="12" t="n">
        <v>46036.58333333334</v>
      </c>
      <c r="E533" s="8" t="n">
        <v>399</v>
      </c>
      <c r="F533" s="2" t="inlineStr">
        <is>
          <t>Card</t>
        </is>
      </c>
      <c r="G533" s="2" t="inlineStr">
        <is>
          <t>failed</t>
        </is>
      </c>
      <c r="H533" s="2" t="n">
        <v>71</v>
      </c>
      <c r="I533" s="2">
        <f>IFERROR(VLOOKUP(C533,Merchants!$A$2:$D$41,2,FALSE),"Merchant not found")</f>
        <v/>
      </c>
      <c r="J533" s="2">
        <f>IFERROR(VLOOKUP(C533,Merchants!$A$2:$D$41,3,FALSE),"Merchant not found")</f>
        <v/>
      </c>
      <c r="K533" s="2">
        <f>IFERROR(VLOOKUP(C533,Merchants!$A$2:$D$41,4,FALSE),"Merchant not found")</f>
        <v/>
      </c>
      <c r="L533" s="7">
        <f>DATE(YEAR(D533),MONTH(D533),DAY(D533))</f>
        <v/>
      </c>
      <c r="M533" s="5">
        <f>IFERROR(HLOOKUP(F533,Fee_Tiers!$B$1:$E$2,2,FALSE),"Fee tier not found")</f>
        <v/>
      </c>
      <c r="N533" s="8">
        <f>SUMIFS(Daily_Merchant!$C$2:$C$444,Daily_Merchant!$A$2:$A$444,C533,Daily_Merchant!$B$2:$B$444,L533)</f>
        <v/>
      </c>
      <c r="O533" s="2">
        <f>IF(AND(N533&gt;5000,K533&lt;&gt;"East"),"High-Value Merchant Day","")</f>
        <v/>
      </c>
    </row>
    <row r="534">
      <c r="A534" s="2" t="inlineStr">
        <is>
          <t>TXN300017</t>
        </is>
      </c>
      <c r="B534" s="2" t="n">
        <v>287</v>
      </c>
      <c r="C534" s="2" t="n">
        <v>12</v>
      </c>
      <c r="D534" s="12" t="n">
        <v>46036.58402777778</v>
      </c>
      <c r="E534" s="8" t="n">
        <v>499</v>
      </c>
      <c r="F534" s="2" t="inlineStr">
        <is>
          <t>Card</t>
        </is>
      </c>
      <c r="G534" s="2" t="inlineStr">
        <is>
          <t>failed</t>
        </is>
      </c>
      <c r="H534" s="2" t="n">
        <v>87</v>
      </c>
      <c r="I534" s="2">
        <f>IFERROR(VLOOKUP(C534,Merchants!$A$2:$D$41,2,FALSE),"Merchant not found")</f>
        <v/>
      </c>
      <c r="J534" s="2">
        <f>IFERROR(VLOOKUP(C534,Merchants!$A$2:$D$41,3,FALSE),"Merchant not found")</f>
        <v/>
      </c>
      <c r="K534" s="2">
        <f>IFERROR(VLOOKUP(C534,Merchants!$A$2:$D$41,4,FALSE),"Merchant not found")</f>
        <v/>
      </c>
      <c r="L534" s="7">
        <f>DATE(YEAR(D534),MONTH(D534),DAY(D534))</f>
        <v/>
      </c>
      <c r="M534" s="5">
        <f>IFERROR(HLOOKUP(F534,Fee_Tiers!$B$1:$E$2,2,FALSE),"Fee tier not found")</f>
        <v/>
      </c>
      <c r="N534" s="8">
        <f>SUMIFS(Daily_Merchant!$C$2:$C$444,Daily_Merchant!$A$2:$A$444,C534,Daily_Merchant!$B$2:$B$444,L534)</f>
        <v/>
      </c>
      <c r="O534" s="2">
        <f>IF(AND(N534&gt;5000,K534&lt;&gt;"East"),"High-Value Merchant Day","")</f>
        <v/>
      </c>
    </row>
    <row r="535">
      <c r="A535" s="2" t="inlineStr">
        <is>
          <t>TXN300018</t>
        </is>
      </c>
      <c r="B535" s="2" t="n">
        <v>287</v>
      </c>
      <c r="C535" s="2" t="n">
        <v>26</v>
      </c>
      <c r="D535" s="12" t="n">
        <v>46036.58472222222</v>
      </c>
      <c r="E535" s="8" t="n">
        <v>299</v>
      </c>
      <c r="F535" s="2" t="inlineStr">
        <is>
          <t>Card</t>
        </is>
      </c>
      <c r="G535" s="2" t="inlineStr">
        <is>
          <t>failed</t>
        </is>
      </c>
      <c r="H535" s="2" t="n">
        <v>72</v>
      </c>
      <c r="I535" s="2">
        <f>IFERROR(VLOOKUP(C535,Merchants!$A$2:$D$41,2,FALSE),"Merchant not found")</f>
        <v/>
      </c>
      <c r="J535" s="2">
        <f>IFERROR(VLOOKUP(C535,Merchants!$A$2:$D$41,3,FALSE),"Merchant not found")</f>
        <v/>
      </c>
      <c r="K535" s="2">
        <f>IFERROR(VLOOKUP(C535,Merchants!$A$2:$D$41,4,FALSE),"Merchant not found")</f>
        <v/>
      </c>
      <c r="L535" s="7">
        <f>DATE(YEAR(D535),MONTH(D535),DAY(D535))</f>
        <v/>
      </c>
      <c r="M535" s="5">
        <f>IFERROR(HLOOKUP(F535,Fee_Tiers!$B$1:$E$2,2,FALSE),"Fee tier not found")</f>
        <v/>
      </c>
      <c r="N535" s="8">
        <f>SUMIFS(Daily_Merchant!$C$2:$C$444,Daily_Merchant!$A$2:$A$444,C535,Daily_Merchant!$B$2:$B$444,L535)</f>
        <v/>
      </c>
      <c r="O535" s="2">
        <f>IF(AND(N535&gt;5000,K535&lt;&gt;"East"),"High-Value Merchant Day","")</f>
        <v/>
      </c>
    </row>
    <row r="536">
      <c r="A536" s="2" t="inlineStr">
        <is>
          <t>TXN300019</t>
        </is>
      </c>
      <c r="B536" s="2" t="n">
        <v>287</v>
      </c>
      <c r="C536" s="2" t="n">
        <v>29</v>
      </c>
      <c r="D536" s="12" t="n">
        <v>46036.58541666667</v>
      </c>
      <c r="E536" s="8" t="n">
        <v>499</v>
      </c>
      <c r="F536" s="2" t="inlineStr">
        <is>
          <t>Card</t>
        </is>
      </c>
      <c r="G536" s="2" t="inlineStr">
        <is>
          <t>captured</t>
        </is>
      </c>
      <c r="H536" s="2" t="n">
        <v>87</v>
      </c>
      <c r="I536" s="2">
        <f>IFERROR(VLOOKUP(C536,Merchants!$A$2:$D$41,2,FALSE),"Merchant not found")</f>
        <v/>
      </c>
      <c r="J536" s="2">
        <f>IFERROR(VLOOKUP(C536,Merchants!$A$2:$D$41,3,FALSE),"Merchant not found")</f>
        <v/>
      </c>
      <c r="K536" s="2">
        <f>IFERROR(VLOOKUP(C536,Merchants!$A$2:$D$41,4,FALSE),"Merchant not found")</f>
        <v/>
      </c>
      <c r="L536" s="7">
        <f>DATE(YEAR(D536),MONTH(D536),DAY(D536))</f>
        <v/>
      </c>
      <c r="M536" s="5">
        <f>IFERROR(HLOOKUP(F536,Fee_Tiers!$B$1:$E$2,2,FALSE),"Fee tier not found")</f>
        <v/>
      </c>
      <c r="N536" s="8">
        <f>SUMIFS(Daily_Merchant!$C$2:$C$444,Daily_Merchant!$A$2:$A$444,C536,Daily_Merchant!$B$2:$B$444,L536)</f>
        <v/>
      </c>
      <c r="O536" s="2">
        <f>IF(AND(N536&gt;5000,K536&lt;&gt;"East"),"High-Value Merchant Day","")</f>
        <v/>
      </c>
    </row>
    <row r="537">
      <c r="A537" s="2" t="inlineStr">
        <is>
          <t>TXN300020</t>
        </is>
      </c>
      <c r="B537" s="2" t="n">
        <v>200</v>
      </c>
      <c r="C537" s="2" t="n">
        <v>14</v>
      </c>
      <c r="D537" s="12" t="n">
        <v>46023.91666666666</v>
      </c>
      <c r="E537" s="8" t="n">
        <v>299</v>
      </c>
      <c r="F537" s="2" t="inlineStr">
        <is>
          <t>Card</t>
        </is>
      </c>
      <c r="G537" s="2" t="inlineStr">
        <is>
          <t>failed</t>
        </is>
      </c>
      <c r="H537" s="2" t="n">
        <v>77</v>
      </c>
      <c r="I537" s="2">
        <f>IFERROR(VLOOKUP(C537,Merchants!$A$2:$D$41,2,FALSE),"Merchant not found")</f>
        <v/>
      </c>
      <c r="J537" s="2">
        <f>IFERROR(VLOOKUP(C537,Merchants!$A$2:$D$41,3,FALSE),"Merchant not found")</f>
        <v/>
      </c>
      <c r="K537" s="2">
        <f>IFERROR(VLOOKUP(C537,Merchants!$A$2:$D$41,4,FALSE),"Merchant not found")</f>
        <v/>
      </c>
      <c r="L537" s="7">
        <f>DATE(YEAR(D537),MONTH(D537),DAY(D537))</f>
        <v/>
      </c>
      <c r="M537" s="5">
        <f>IFERROR(HLOOKUP(F537,Fee_Tiers!$B$1:$E$2,2,FALSE),"Fee tier not found")</f>
        <v/>
      </c>
      <c r="N537" s="8">
        <f>SUMIFS(Daily_Merchant!$C$2:$C$444,Daily_Merchant!$A$2:$A$444,C537,Daily_Merchant!$B$2:$B$444,L537)</f>
        <v/>
      </c>
      <c r="O537" s="2">
        <f>IF(AND(N537&gt;5000,K537&lt;&gt;"East"),"High-Value Merchant Day","")</f>
        <v/>
      </c>
    </row>
    <row r="538">
      <c r="A538" s="2" t="inlineStr">
        <is>
          <t>TXN300021</t>
        </is>
      </c>
      <c r="B538" s="2" t="n">
        <v>200</v>
      </c>
      <c r="C538" s="2" t="n">
        <v>5</v>
      </c>
      <c r="D538" s="12" t="n">
        <v>46023.91736111111</v>
      </c>
      <c r="E538" s="8" t="n">
        <v>499</v>
      </c>
      <c r="F538" s="2" t="inlineStr">
        <is>
          <t>Card</t>
        </is>
      </c>
      <c r="G538" s="2" t="inlineStr">
        <is>
          <t>failed</t>
        </is>
      </c>
      <c r="H538" s="2" t="n">
        <v>66</v>
      </c>
      <c r="I538" s="2">
        <f>IFERROR(VLOOKUP(C538,Merchants!$A$2:$D$41,2,FALSE),"Merchant not found")</f>
        <v/>
      </c>
      <c r="J538" s="2">
        <f>IFERROR(VLOOKUP(C538,Merchants!$A$2:$D$41,3,FALSE),"Merchant not found")</f>
        <v/>
      </c>
      <c r="K538" s="2">
        <f>IFERROR(VLOOKUP(C538,Merchants!$A$2:$D$41,4,FALSE),"Merchant not found")</f>
        <v/>
      </c>
      <c r="L538" s="7">
        <f>DATE(YEAR(D538),MONTH(D538),DAY(D538))</f>
        <v/>
      </c>
      <c r="M538" s="5">
        <f>IFERROR(HLOOKUP(F538,Fee_Tiers!$B$1:$E$2,2,FALSE),"Fee tier not found")</f>
        <v/>
      </c>
      <c r="N538" s="8">
        <f>SUMIFS(Daily_Merchant!$C$2:$C$444,Daily_Merchant!$A$2:$A$444,C538,Daily_Merchant!$B$2:$B$444,L538)</f>
        <v/>
      </c>
      <c r="O538" s="2">
        <f>IF(AND(N538&gt;5000,K538&lt;&gt;"East"),"High-Value Merchant Day","")</f>
        <v/>
      </c>
    </row>
    <row r="539">
      <c r="A539" s="2" t="inlineStr">
        <is>
          <t>TXN300022</t>
        </is>
      </c>
      <c r="B539" s="2" t="n">
        <v>200</v>
      </c>
      <c r="C539" s="2" t="n">
        <v>35</v>
      </c>
      <c r="D539" s="12" t="n">
        <v>46023.91805555556</v>
      </c>
      <c r="E539" s="8" t="n">
        <v>299</v>
      </c>
      <c r="F539" s="2" t="inlineStr">
        <is>
          <t>Card</t>
        </is>
      </c>
      <c r="G539" s="2" t="inlineStr">
        <is>
          <t>failed</t>
        </is>
      </c>
      <c r="H539" s="2" t="n">
        <v>83</v>
      </c>
      <c r="I539" s="2">
        <f>IFERROR(VLOOKUP(C539,Merchants!$A$2:$D$41,2,FALSE),"Merchant not found")</f>
        <v/>
      </c>
      <c r="J539" s="2">
        <f>IFERROR(VLOOKUP(C539,Merchants!$A$2:$D$41,3,FALSE),"Merchant not found")</f>
        <v/>
      </c>
      <c r="K539" s="2">
        <f>IFERROR(VLOOKUP(C539,Merchants!$A$2:$D$41,4,FALSE),"Merchant not found")</f>
        <v/>
      </c>
      <c r="L539" s="7">
        <f>DATE(YEAR(D539),MONTH(D539),DAY(D539))</f>
        <v/>
      </c>
      <c r="M539" s="5">
        <f>IFERROR(HLOOKUP(F539,Fee_Tiers!$B$1:$E$2,2,FALSE),"Fee tier not found")</f>
        <v/>
      </c>
      <c r="N539" s="8">
        <f>SUMIFS(Daily_Merchant!$C$2:$C$444,Daily_Merchant!$A$2:$A$444,C539,Daily_Merchant!$B$2:$B$444,L539)</f>
        <v/>
      </c>
      <c r="O539" s="2">
        <f>IF(AND(N539&gt;5000,K539&lt;&gt;"East"),"High-Value Merchant Day","")</f>
        <v/>
      </c>
    </row>
    <row r="540">
      <c r="A540" s="2" t="inlineStr">
        <is>
          <t>TXN300023</t>
        </is>
      </c>
      <c r="B540" s="2" t="n">
        <v>200</v>
      </c>
      <c r="C540" s="2" t="n">
        <v>21</v>
      </c>
      <c r="D540" s="12" t="n">
        <v>46023.91875</v>
      </c>
      <c r="E540" s="8" t="n">
        <v>299</v>
      </c>
      <c r="F540" s="2" t="inlineStr">
        <is>
          <t>Card</t>
        </is>
      </c>
      <c r="G540" s="2" t="inlineStr">
        <is>
          <t>captured</t>
        </is>
      </c>
      <c r="H540" s="2" t="n">
        <v>89</v>
      </c>
      <c r="I540" s="2">
        <f>IFERROR(VLOOKUP(C540,Merchants!$A$2:$D$41,2,FALSE),"Merchant not found")</f>
        <v/>
      </c>
      <c r="J540" s="2">
        <f>IFERROR(VLOOKUP(C540,Merchants!$A$2:$D$41,3,FALSE),"Merchant not found")</f>
        <v/>
      </c>
      <c r="K540" s="2">
        <f>IFERROR(VLOOKUP(C540,Merchants!$A$2:$D$41,4,FALSE),"Merchant not found")</f>
        <v/>
      </c>
      <c r="L540" s="7">
        <f>DATE(YEAR(D540),MONTH(D540),DAY(D540))</f>
        <v/>
      </c>
      <c r="M540" s="5">
        <f>IFERROR(HLOOKUP(F540,Fee_Tiers!$B$1:$E$2,2,FALSE),"Fee tier not found")</f>
        <v/>
      </c>
      <c r="N540" s="8">
        <f>SUMIFS(Daily_Merchant!$C$2:$C$444,Daily_Merchant!$A$2:$A$444,C540,Daily_Merchant!$B$2:$B$444,L540)</f>
        <v/>
      </c>
      <c r="O540" s="2">
        <f>IF(AND(N540&gt;5000,K540&lt;&gt;"East"),"High-Value Merchant Day","")</f>
        <v/>
      </c>
    </row>
    <row r="541">
      <c r="A541" s="2" t="inlineStr">
        <is>
          <t>TXN300024</t>
        </is>
      </c>
      <c r="B541" s="2" t="n">
        <v>59</v>
      </c>
      <c r="C541" s="2" t="n">
        <v>32</v>
      </c>
      <c r="D541" s="12" t="n">
        <v>46031.875</v>
      </c>
      <c r="E541" s="8" t="n">
        <v>499</v>
      </c>
      <c r="F541" s="2" t="inlineStr">
        <is>
          <t>Card</t>
        </is>
      </c>
      <c r="G541" s="2" t="inlineStr">
        <is>
          <t>failed</t>
        </is>
      </c>
      <c r="H541" s="2" t="n">
        <v>80</v>
      </c>
      <c r="I541" s="2">
        <f>IFERROR(VLOOKUP(C541,Merchants!$A$2:$D$41,2,FALSE),"Merchant not found")</f>
        <v/>
      </c>
      <c r="J541" s="2">
        <f>IFERROR(VLOOKUP(C541,Merchants!$A$2:$D$41,3,FALSE),"Merchant not found")</f>
        <v/>
      </c>
      <c r="K541" s="2">
        <f>IFERROR(VLOOKUP(C541,Merchants!$A$2:$D$41,4,FALSE),"Merchant not found")</f>
        <v/>
      </c>
      <c r="L541" s="7">
        <f>DATE(YEAR(D541),MONTH(D541),DAY(D541))</f>
        <v/>
      </c>
      <c r="M541" s="5">
        <f>IFERROR(HLOOKUP(F541,Fee_Tiers!$B$1:$E$2,2,FALSE),"Fee tier not found")</f>
        <v/>
      </c>
      <c r="N541" s="8">
        <f>SUMIFS(Daily_Merchant!$C$2:$C$444,Daily_Merchant!$A$2:$A$444,C541,Daily_Merchant!$B$2:$B$444,L541)</f>
        <v/>
      </c>
      <c r="O541" s="2">
        <f>IF(AND(N541&gt;5000,K541&lt;&gt;"East"),"High-Value Merchant Day","")</f>
        <v/>
      </c>
    </row>
    <row r="542">
      <c r="A542" s="2" t="inlineStr">
        <is>
          <t>TXN300025</t>
        </is>
      </c>
      <c r="B542" s="2" t="n">
        <v>59</v>
      </c>
      <c r="C542" s="2" t="n">
        <v>39</v>
      </c>
      <c r="D542" s="12" t="n">
        <v>46031.87569444445</v>
      </c>
      <c r="E542" s="8" t="n">
        <v>399</v>
      </c>
      <c r="F542" s="2" t="inlineStr">
        <is>
          <t>Card</t>
        </is>
      </c>
      <c r="G542" s="2" t="inlineStr">
        <is>
          <t>failed</t>
        </is>
      </c>
      <c r="H542" s="2" t="n">
        <v>85</v>
      </c>
      <c r="I542" s="2">
        <f>IFERROR(VLOOKUP(C542,Merchants!$A$2:$D$41,2,FALSE),"Merchant not found")</f>
        <v/>
      </c>
      <c r="J542" s="2">
        <f>IFERROR(VLOOKUP(C542,Merchants!$A$2:$D$41,3,FALSE),"Merchant not found")</f>
        <v/>
      </c>
      <c r="K542" s="2">
        <f>IFERROR(VLOOKUP(C542,Merchants!$A$2:$D$41,4,FALSE),"Merchant not found")</f>
        <v/>
      </c>
      <c r="L542" s="7">
        <f>DATE(YEAR(D542),MONTH(D542),DAY(D542))</f>
        <v/>
      </c>
      <c r="M542" s="5">
        <f>IFERROR(HLOOKUP(F542,Fee_Tiers!$B$1:$E$2,2,FALSE),"Fee tier not found")</f>
        <v/>
      </c>
      <c r="N542" s="8">
        <f>SUMIFS(Daily_Merchant!$C$2:$C$444,Daily_Merchant!$A$2:$A$444,C542,Daily_Merchant!$B$2:$B$444,L542)</f>
        <v/>
      </c>
      <c r="O542" s="2">
        <f>IF(AND(N542&gt;5000,K542&lt;&gt;"East"),"High-Value Merchant Day","")</f>
        <v/>
      </c>
    </row>
    <row r="543">
      <c r="A543" s="2" t="inlineStr">
        <is>
          <t>TXN300026</t>
        </is>
      </c>
      <c r="B543" s="2" t="n">
        <v>59</v>
      </c>
      <c r="C543" s="2" t="n">
        <v>38</v>
      </c>
      <c r="D543" s="12" t="n">
        <v>46031.87638888889</v>
      </c>
      <c r="E543" s="8" t="n">
        <v>299</v>
      </c>
      <c r="F543" s="2" t="inlineStr">
        <is>
          <t>Card</t>
        </is>
      </c>
      <c r="G543" s="2" t="inlineStr">
        <is>
          <t>failed</t>
        </is>
      </c>
      <c r="H543" s="2" t="n">
        <v>82</v>
      </c>
      <c r="I543" s="2">
        <f>IFERROR(VLOOKUP(C543,Merchants!$A$2:$D$41,2,FALSE),"Merchant not found")</f>
        <v/>
      </c>
      <c r="J543" s="2">
        <f>IFERROR(VLOOKUP(C543,Merchants!$A$2:$D$41,3,FALSE),"Merchant not found")</f>
        <v/>
      </c>
      <c r="K543" s="2">
        <f>IFERROR(VLOOKUP(C543,Merchants!$A$2:$D$41,4,FALSE),"Merchant not found")</f>
        <v/>
      </c>
      <c r="L543" s="7">
        <f>DATE(YEAR(D543),MONTH(D543),DAY(D543))</f>
        <v/>
      </c>
      <c r="M543" s="5">
        <f>IFERROR(HLOOKUP(F543,Fee_Tiers!$B$1:$E$2,2,FALSE),"Fee tier not found")</f>
        <v/>
      </c>
      <c r="N543" s="8">
        <f>SUMIFS(Daily_Merchant!$C$2:$C$444,Daily_Merchant!$A$2:$A$444,C543,Daily_Merchant!$B$2:$B$444,L543)</f>
        <v/>
      </c>
      <c r="O543" s="2">
        <f>IF(AND(N543&gt;5000,K543&lt;&gt;"East"),"High-Value Merchant Day","")</f>
        <v/>
      </c>
    </row>
    <row r="544">
      <c r="A544" s="2" t="inlineStr">
        <is>
          <t>TXN300027</t>
        </is>
      </c>
      <c r="B544" s="2" t="n">
        <v>59</v>
      </c>
      <c r="C544" s="2" t="n">
        <v>23</v>
      </c>
      <c r="D544" s="12" t="n">
        <v>46031.87708333333</v>
      </c>
      <c r="E544" s="8" t="n">
        <v>399</v>
      </c>
      <c r="F544" s="2" t="inlineStr">
        <is>
          <t>Card</t>
        </is>
      </c>
      <c r="G544" s="2" t="inlineStr">
        <is>
          <t>captured</t>
        </is>
      </c>
      <c r="H544" s="2" t="n">
        <v>71</v>
      </c>
      <c r="I544" s="2">
        <f>IFERROR(VLOOKUP(C544,Merchants!$A$2:$D$41,2,FALSE),"Merchant not found")</f>
        <v/>
      </c>
      <c r="J544" s="2">
        <f>IFERROR(VLOOKUP(C544,Merchants!$A$2:$D$41,3,FALSE),"Merchant not found")</f>
        <v/>
      </c>
      <c r="K544" s="2">
        <f>IFERROR(VLOOKUP(C544,Merchants!$A$2:$D$41,4,FALSE),"Merchant not found")</f>
        <v/>
      </c>
      <c r="L544" s="7">
        <f>DATE(YEAR(D544),MONTH(D544),DAY(D544))</f>
        <v/>
      </c>
      <c r="M544" s="5">
        <f>IFERROR(HLOOKUP(F544,Fee_Tiers!$B$1:$E$2,2,FALSE),"Fee tier not found")</f>
        <v/>
      </c>
      <c r="N544" s="8">
        <f>SUMIFS(Daily_Merchant!$C$2:$C$444,Daily_Merchant!$A$2:$A$444,C544,Daily_Merchant!$B$2:$B$444,L544)</f>
        <v/>
      </c>
      <c r="O544" s="2">
        <f>IF(AND(N544&gt;5000,K544&lt;&gt;"East"),"High-Value Merchant Day","")</f>
        <v/>
      </c>
    </row>
    <row r="545">
      <c r="A545" s="2" t="inlineStr">
        <is>
          <t>TXN300028</t>
        </is>
      </c>
      <c r="B545" s="2" t="n">
        <v>345</v>
      </c>
      <c r="C545" s="2" t="n">
        <v>40</v>
      </c>
      <c r="D545" s="12" t="n">
        <v>46045.375</v>
      </c>
      <c r="E545" s="8" t="n">
        <v>499</v>
      </c>
      <c r="F545" s="2" t="inlineStr">
        <is>
          <t>Card</t>
        </is>
      </c>
      <c r="G545" s="2" t="inlineStr">
        <is>
          <t>failed</t>
        </is>
      </c>
      <c r="H545" s="2" t="n">
        <v>65</v>
      </c>
      <c r="I545" s="2">
        <f>IFERROR(VLOOKUP(C545,Merchants!$A$2:$D$41,2,FALSE),"Merchant not found")</f>
        <v/>
      </c>
      <c r="J545" s="2">
        <f>IFERROR(VLOOKUP(C545,Merchants!$A$2:$D$41,3,FALSE),"Merchant not found")</f>
        <v/>
      </c>
      <c r="K545" s="2">
        <f>IFERROR(VLOOKUP(C545,Merchants!$A$2:$D$41,4,FALSE),"Merchant not found")</f>
        <v/>
      </c>
      <c r="L545" s="7">
        <f>DATE(YEAR(D545),MONTH(D545),DAY(D545))</f>
        <v/>
      </c>
      <c r="M545" s="5">
        <f>IFERROR(HLOOKUP(F545,Fee_Tiers!$B$1:$E$2,2,FALSE),"Fee tier not found")</f>
        <v/>
      </c>
      <c r="N545" s="8">
        <f>SUMIFS(Daily_Merchant!$C$2:$C$444,Daily_Merchant!$A$2:$A$444,C545,Daily_Merchant!$B$2:$B$444,L545)</f>
        <v/>
      </c>
      <c r="O545" s="2">
        <f>IF(AND(N545&gt;5000,K545&lt;&gt;"East"),"High-Value Merchant Day","")</f>
        <v/>
      </c>
    </row>
    <row r="546">
      <c r="A546" s="2" t="inlineStr">
        <is>
          <t>TXN300029</t>
        </is>
      </c>
      <c r="B546" s="2" t="n">
        <v>345</v>
      </c>
      <c r="C546" s="2" t="n">
        <v>9</v>
      </c>
      <c r="D546" s="12" t="n">
        <v>46045.37569444445</v>
      </c>
      <c r="E546" s="8" t="n">
        <v>399</v>
      </c>
      <c r="F546" s="2" t="inlineStr">
        <is>
          <t>Card</t>
        </is>
      </c>
      <c r="G546" s="2" t="inlineStr">
        <is>
          <t>failed</t>
        </is>
      </c>
      <c r="H546" s="2" t="n">
        <v>67</v>
      </c>
      <c r="I546" s="2">
        <f>IFERROR(VLOOKUP(C546,Merchants!$A$2:$D$41,2,FALSE),"Merchant not found")</f>
        <v/>
      </c>
      <c r="J546" s="2">
        <f>IFERROR(VLOOKUP(C546,Merchants!$A$2:$D$41,3,FALSE),"Merchant not found")</f>
        <v/>
      </c>
      <c r="K546" s="2">
        <f>IFERROR(VLOOKUP(C546,Merchants!$A$2:$D$41,4,FALSE),"Merchant not found")</f>
        <v/>
      </c>
      <c r="L546" s="7">
        <f>DATE(YEAR(D546),MONTH(D546),DAY(D546))</f>
        <v/>
      </c>
      <c r="M546" s="5">
        <f>IFERROR(HLOOKUP(F546,Fee_Tiers!$B$1:$E$2,2,FALSE),"Fee tier not found")</f>
        <v/>
      </c>
      <c r="N546" s="8">
        <f>SUMIFS(Daily_Merchant!$C$2:$C$444,Daily_Merchant!$A$2:$A$444,C546,Daily_Merchant!$B$2:$B$444,L546)</f>
        <v/>
      </c>
      <c r="O546" s="2">
        <f>IF(AND(N546&gt;5000,K546&lt;&gt;"East"),"High-Value Merchant Day","")</f>
        <v/>
      </c>
    </row>
    <row r="547">
      <c r="A547" s="2" t="inlineStr">
        <is>
          <t>TXN300030</t>
        </is>
      </c>
      <c r="B547" s="2" t="n">
        <v>345</v>
      </c>
      <c r="C547" s="2" t="n">
        <v>16</v>
      </c>
      <c r="D547" s="12" t="n">
        <v>46045.37638888889</v>
      </c>
      <c r="E547" s="8" t="n">
        <v>399</v>
      </c>
      <c r="F547" s="2" t="inlineStr">
        <is>
          <t>Card</t>
        </is>
      </c>
      <c r="G547" s="2" t="inlineStr">
        <is>
          <t>failed</t>
        </is>
      </c>
      <c r="H547" s="2" t="n">
        <v>67</v>
      </c>
      <c r="I547" s="2">
        <f>IFERROR(VLOOKUP(C547,Merchants!$A$2:$D$41,2,FALSE),"Merchant not found")</f>
        <v/>
      </c>
      <c r="J547" s="2">
        <f>IFERROR(VLOOKUP(C547,Merchants!$A$2:$D$41,3,FALSE),"Merchant not found")</f>
        <v/>
      </c>
      <c r="K547" s="2">
        <f>IFERROR(VLOOKUP(C547,Merchants!$A$2:$D$41,4,FALSE),"Merchant not found")</f>
        <v/>
      </c>
      <c r="L547" s="7">
        <f>DATE(YEAR(D547),MONTH(D547),DAY(D547))</f>
        <v/>
      </c>
      <c r="M547" s="5">
        <f>IFERROR(HLOOKUP(F547,Fee_Tiers!$B$1:$E$2,2,FALSE),"Fee tier not found")</f>
        <v/>
      </c>
      <c r="N547" s="8">
        <f>SUMIFS(Daily_Merchant!$C$2:$C$444,Daily_Merchant!$A$2:$A$444,C547,Daily_Merchant!$B$2:$B$444,L547)</f>
        <v/>
      </c>
      <c r="O547" s="2">
        <f>IF(AND(N547&gt;5000,K547&lt;&gt;"East"),"High-Value Merchant Day","")</f>
        <v/>
      </c>
    </row>
    <row r="548">
      <c r="A548" s="2" t="inlineStr">
        <is>
          <t>TXN300031</t>
        </is>
      </c>
      <c r="B548" s="2" t="n">
        <v>345</v>
      </c>
      <c r="C548" s="2" t="n">
        <v>12</v>
      </c>
      <c r="D548" s="12" t="n">
        <v>46045.37708333333</v>
      </c>
      <c r="E548" s="8" t="n">
        <v>399</v>
      </c>
      <c r="F548" s="2" t="inlineStr">
        <is>
          <t>Card</t>
        </is>
      </c>
      <c r="G548" s="2" t="inlineStr">
        <is>
          <t>captured</t>
        </is>
      </c>
      <c r="H548" s="2" t="n">
        <v>69</v>
      </c>
      <c r="I548" s="2">
        <f>IFERROR(VLOOKUP(C548,Merchants!$A$2:$D$41,2,FALSE),"Merchant not found")</f>
        <v/>
      </c>
      <c r="J548" s="2">
        <f>IFERROR(VLOOKUP(C548,Merchants!$A$2:$D$41,3,FALSE),"Merchant not found")</f>
        <v/>
      </c>
      <c r="K548" s="2">
        <f>IFERROR(VLOOKUP(C548,Merchants!$A$2:$D$41,4,FALSE),"Merchant not found")</f>
        <v/>
      </c>
      <c r="L548" s="7">
        <f>DATE(YEAR(D548),MONTH(D548),DAY(D548))</f>
        <v/>
      </c>
      <c r="M548" s="5">
        <f>IFERROR(HLOOKUP(F548,Fee_Tiers!$B$1:$E$2,2,FALSE),"Fee tier not found")</f>
        <v/>
      </c>
      <c r="N548" s="8">
        <f>SUMIFS(Daily_Merchant!$C$2:$C$444,Daily_Merchant!$A$2:$A$444,C548,Daily_Merchant!$B$2:$B$444,L548)</f>
        <v/>
      </c>
      <c r="O548" s="2">
        <f>IF(AND(N548&gt;5000,K548&lt;&gt;"East"),"High-Value Merchant Day","")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0" t="inlineStr">
        <is>
          <t>Section 1 - Total amount_inr and transaction count by merchant_id and status</t>
        </is>
      </c>
    </row>
    <row r="2">
      <c r="A2" s="3" t="inlineStr">
        <is>
          <t>merchant_id</t>
        </is>
      </c>
      <c r="B2" s="3" t="inlineStr">
        <is>
          <t>merchant_name</t>
        </is>
      </c>
      <c r="C2" s="3" t="inlineStr">
        <is>
          <t>captured_amount_inr</t>
        </is>
      </c>
      <c r="D2" s="3" t="inlineStr">
        <is>
          <t>captured_count</t>
        </is>
      </c>
      <c r="E2" s="3" t="inlineStr">
        <is>
          <t>failed_amount_inr</t>
        </is>
      </c>
      <c r="F2" s="3" t="inlineStr">
        <is>
          <t>failed_count</t>
        </is>
      </c>
      <c r="G2" s="3" t="inlineStr">
        <is>
          <t>chargeback_amount_inr</t>
        </is>
      </c>
      <c r="H2" s="3" t="inlineStr">
        <is>
          <t>chargeback_count</t>
        </is>
      </c>
      <c r="I2" s="3" t="inlineStr">
        <is>
          <t>total_amount_inr</t>
        </is>
      </c>
      <c r="J2" s="3" t="inlineStr">
        <is>
          <t>total_count</t>
        </is>
      </c>
    </row>
    <row r="3">
      <c r="A3" s="2" t="n">
        <v>1</v>
      </c>
      <c r="B3" s="2">
        <f>IFERROR(VLOOKUP(A3,Merchants!$A$2:$D$41,2,FALSE),"Merchant not found")</f>
        <v/>
      </c>
      <c r="C3" s="8">
        <f>SUMIFS(Transactions_View!$E$2:$E$548,Transactions_View!$C$2:$C$548,A3,Transactions_View!$G$2:$G$548,"captured")</f>
        <v/>
      </c>
      <c r="D3" s="2">
        <f>COUNTIFS(Transactions_View!$C$2:$C$548,A3,Transactions_View!$G$2:$G$548,"captured")</f>
        <v/>
      </c>
      <c r="E3" s="8">
        <f>SUMIFS(Transactions_View!$E$2:$E$548,Transactions_View!$C$2:$C$548,A3,Transactions_View!$G$2:$G$548,"failed")</f>
        <v/>
      </c>
      <c r="F3" s="2">
        <f>COUNTIFS(Transactions_View!$C$2:$C$548,A3,Transactions_View!$G$2:$G$548,"failed")</f>
        <v/>
      </c>
      <c r="G3" s="8">
        <f>SUMIFS(Transactions_View!$E$2:$E$548,Transactions_View!$C$2:$C$548,A3,Transactions_View!$G$2:$G$548,"chargeback")</f>
        <v/>
      </c>
      <c r="H3" s="2">
        <f>COUNTIFS(Transactions_View!$C$2:$C$548,A3,Transactions_View!$G$2:$G$548,"chargeback")</f>
        <v/>
      </c>
      <c r="I3" s="8">
        <f>C3+E3+G3</f>
        <v/>
      </c>
      <c r="J3" s="2">
        <f>D3+F3+H3</f>
        <v/>
      </c>
    </row>
    <row r="4">
      <c r="A4" s="2" t="n">
        <v>2</v>
      </c>
      <c r="B4" s="2">
        <f>IFERROR(VLOOKUP(A4,Merchants!$A$2:$D$41,2,FALSE),"Merchant not found")</f>
        <v/>
      </c>
      <c r="C4" s="8">
        <f>SUMIFS(Transactions_View!$E$2:$E$548,Transactions_View!$C$2:$C$548,A4,Transactions_View!$G$2:$G$548,"captured")</f>
        <v/>
      </c>
      <c r="D4" s="2">
        <f>COUNTIFS(Transactions_View!$C$2:$C$548,A4,Transactions_View!$G$2:$G$548,"captured")</f>
        <v/>
      </c>
      <c r="E4" s="8">
        <f>SUMIFS(Transactions_View!$E$2:$E$548,Transactions_View!$C$2:$C$548,A4,Transactions_View!$G$2:$G$548,"failed")</f>
        <v/>
      </c>
      <c r="F4" s="2">
        <f>COUNTIFS(Transactions_View!$C$2:$C$548,A4,Transactions_View!$G$2:$G$548,"failed")</f>
        <v/>
      </c>
      <c r="G4" s="8">
        <f>SUMIFS(Transactions_View!$E$2:$E$548,Transactions_View!$C$2:$C$548,A4,Transactions_View!$G$2:$G$548,"chargeback")</f>
        <v/>
      </c>
      <c r="H4" s="2">
        <f>COUNTIFS(Transactions_View!$C$2:$C$548,A4,Transactions_View!$G$2:$G$548,"chargeback")</f>
        <v/>
      </c>
      <c r="I4" s="8">
        <f>C4+E4+G4</f>
        <v/>
      </c>
      <c r="J4" s="2">
        <f>D4+F4+H4</f>
        <v/>
      </c>
    </row>
    <row r="5">
      <c r="A5" s="2" t="n">
        <v>3</v>
      </c>
      <c r="B5" s="2">
        <f>IFERROR(VLOOKUP(A5,Merchants!$A$2:$D$41,2,FALSE),"Merchant not found")</f>
        <v/>
      </c>
      <c r="C5" s="8">
        <f>SUMIFS(Transactions_View!$E$2:$E$548,Transactions_View!$C$2:$C$548,A5,Transactions_View!$G$2:$G$548,"captured")</f>
        <v/>
      </c>
      <c r="D5" s="2">
        <f>COUNTIFS(Transactions_View!$C$2:$C$548,A5,Transactions_View!$G$2:$G$548,"captured")</f>
        <v/>
      </c>
      <c r="E5" s="8">
        <f>SUMIFS(Transactions_View!$E$2:$E$548,Transactions_View!$C$2:$C$548,A5,Transactions_View!$G$2:$G$548,"failed")</f>
        <v/>
      </c>
      <c r="F5" s="2">
        <f>COUNTIFS(Transactions_View!$C$2:$C$548,A5,Transactions_View!$G$2:$G$548,"failed")</f>
        <v/>
      </c>
      <c r="G5" s="8">
        <f>SUMIFS(Transactions_View!$E$2:$E$548,Transactions_View!$C$2:$C$548,A5,Transactions_View!$G$2:$G$548,"chargeback")</f>
        <v/>
      </c>
      <c r="H5" s="2">
        <f>COUNTIFS(Transactions_View!$C$2:$C$548,A5,Transactions_View!$G$2:$G$548,"chargeback")</f>
        <v/>
      </c>
      <c r="I5" s="8">
        <f>C5+E5+G5</f>
        <v/>
      </c>
      <c r="J5" s="2">
        <f>D5+F5+H5</f>
        <v/>
      </c>
    </row>
    <row r="6">
      <c r="A6" s="2" t="n">
        <v>4</v>
      </c>
      <c r="B6" s="2">
        <f>IFERROR(VLOOKUP(A6,Merchants!$A$2:$D$41,2,FALSE),"Merchant not found")</f>
        <v/>
      </c>
      <c r="C6" s="8">
        <f>SUMIFS(Transactions_View!$E$2:$E$548,Transactions_View!$C$2:$C$548,A6,Transactions_View!$G$2:$G$548,"captured")</f>
        <v/>
      </c>
      <c r="D6" s="2">
        <f>COUNTIFS(Transactions_View!$C$2:$C$548,A6,Transactions_View!$G$2:$G$548,"captured")</f>
        <v/>
      </c>
      <c r="E6" s="8">
        <f>SUMIFS(Transactions_View!$E$2:$E$548,Transactions_View!$C$2:$C$548,A6,Transactions_View!$G$2:$G$548,"failed")</f>
        <v/>
      </c>
      <c r="F6" s="2">
        <f>COUNTIFS(Transactions_View!$C$2:$C$548,A6,Transactions_View!$G$2:$G$548,"failed")</f>
        <v/>
      </c>
      <c r="G6" s="8">
        <f>SUMIFS(Transactions_View!$E$2:$E$548,Transactions_View!$C$2:$C$548,A6,Transactions_View!$G$2:$G$548,"chargeback")</f>
        <v/>
      </c>
      <c r="H6" s="2">
        <f>COUNTIFS(Transactions_View!$C$2:$C$548,A6,Transactions_View!$G$2:$G$548,"chargeback")</f>
        <v/>
      </c>
      <c r="I6" s="8">
        <f>C6+E6+G6</f>
        <v/>
      </c>
      <c r="J6" s="2">
        <f>D6+F6+H6</f>
        <v/>
      </c>
    </row>
    <row r="7">
      <c r="A7" s="2" t="n">
        <v>5</v>
      </c>
      <c r="B7" s="2">
        <f>IFERROR(VLOOKUP(A7,Merchants!$A$2:$D$41,2,FALSE),"Merchant not found")</f>
        <v/>
      </c>
      <c r="C7" s="8">
        <f>SUMIFS(Transactions_View!$E$2:$E$548,Transactions_View!$C$2:$C$548,A7,Transactions_View!$G$2:$G$548,"captured")</f>
        <v/>
      </c>
      <c r="D7" s="2">
        <f>COUNTIFS(Transactions_View!$C$2:$C$548,A7,Transactions_View!$G$2:$G$548,"captured")</f>
        <v/>
      </c>
      <c r="E7" s="8">
        <f>SUMIFS(Transactions_View!$E$2:$E$548,Transactions_View!$C$2:$C$548,A7,Transactions_View!$G$2:$G$548,"failed")</f>
        <v/>
      </c>
      <c r="F7" s="2">
        <f>COUNTIFS(Transactions_View!$C$2:$C$548,A7,Transactions_View!$G$2:$G$548,"failed")</f>
        <v/>
      </c>
      <c r="G7" s="8">
        <f>SUMIFS(Transactions_View!$E$2:$E$548,Transactions_View!$C$2:$C$548,A7,Transactions_View!$G$2:$G$548,"chargeback")</f>
        <v/>
      </c>
      <c r="H7" s="2">
        <f>COUNTIFS(Transactions_View!$C$2:$C$548,A7,Transactions_View!$G$2:$G$548,"chargeback")</f>
        <v/>
      </c>
      <c r="I7" s="8">
        <f>C7+E7+G7</f>
        <v/>
      </c>
      <c r="J7" s="2">
        <f>D7+F7+H7</f>
        <v/>
      </c>
    </row>
    <row r="8">
      <c r="A8" s="2" t="n">
        <v>6</v>
      </c>
      <c r="B8" s="2">
        <f>IFERROR(VLOOKUP(A8,Merchants!$A$2:$D$41,2,FALSE),"Merchant not found")</f>
        <v/>
      </c>
      <c r="C8" s="8">
        <f>SUMIFS(Transactions_View!$E$2:$E$548,Transactions_View!$C$2:$C$548,A8,Transactions_View!$G$2:$G$548,"captured")</f>
        <v/>
      </c>
      <c r="D8" s="2">
        <f>COUNTIFS(Transactions_View!$C$2:$C$548,A8,Transactions_View!$G$2:$G$548,"captured")</f>
        <v/>
      </c>
      <c r="E8" s="8">
        <f>SUMIFS(Transactions_View!$E$2:$E$548,Transactions_View!$C$2:$C$548,A8,Transactions_View!$G$2:$G$548,"failed")</f>
        <v/>
      </c>
      <c r="F8" s="2">
        <f>COUNTIFS(Transactions_View!$C$2:$C$548,A8,Transactions_View!$G$2:$G$548,"failed")</f>
        <v/>
      </c>
      <c r="G8" s="8">
        <f>SUMIFS(Transactions_View!$E$2:$E$548,Transactions_View!$C$2:$C$548,A8,Transactions_View!$G$2:$G$548,"chargeback")</f>
        <v/>
      </c>
      <c r="H8" s="2">
        <f>COUNTIFS(Transactions_View!$C$2:$C$548,A8,Transactions_View!$G$2:$G$548,"chargeback")</f>
        <v/>
      </c>
      <c r="I8" s="8">
        <f>C8+E8+G8</f>
        <v/>
      </c>
      <c r="J8" s="2">
        <f>D8+F8+H8</f>
        <v/>
      </c>
    </row>
    <row r="9">
      <c r="A9" s="2" t="n">
        <v>7</v>
      </c>
      <c r="B9" s="2">
        <f>IFERROR(VLOOKUP(A9,Merchants!$A$2:$D$41,2,FALSE),"Merchant not found")</f>
        <v/>
      </c>
      <c r="C9" s="8">
        <f>SUMIFS(Transactions_View!$E$2:$E$548,Transactions_View!$C$2:$C$548,A9,Transactions_View!$G$2:$G$548,"captured")</f>
        <v/>
      </c>
      <c r="D9" s="2">
        <f>COUNTIFS(Transactions_View!$C$2:$C$548,A9,Transactions_View!$G$2:$G$548,"captured")</f>
        <v/>
      </c>
      <c r="E9" s="8">
        <f>SUMIFS(Transactions_View!$E$2:$E$548,Transactions_View!$C$2:$C$548,A9,Transactions_View!$G$2:$G$548,"failed")</f>
        <v/>
      </c>
      <c r="F9" s="2">
        <f>COUNTIFS(Transactions_View!$C$2:$C$548,A9,Transactions_View!$G$2:$G$548,"failed")</f>
        <v/>
      </c>
      <c r="G9" s="8">
        <f>SUMIFS(Transactions_View!$E$2:$E$548,Transactions_View!$C$2:$C$548,A9,Transactions_View!$G$2:$G$548,"chargeback")</f>
        <v/>
      </c>
      <c r="H9" s="2">
        <f>COUNTIFS(Transactions_View!$C$2:$C$548,A9,Transactions_View!$G$2:$G$548,"chargeback")</f>
        <v/>
      </c>
      <c r="I9" s="8">
        <f>C9+E9+G9</f>
        <v/>
      </c>
      <c r="J9" s="2">
        <f>D9+F9+H9</f>
        <v/>
      </c>
    </row>
    <row r="10">
      <c r="A10" s="2" t="n">
        <v>8</v>
      </c>
      <c r="B10" s="2">
        <f>IFERROR(VLOOKUP(A10,Merchants!$A$2:$D$41,2,FALSE),"Merchant not found")</f>
        <v/>
      </c>
      <c r="C10" s="8">
        <f>SUMIFS(Transactions_View!$E$2:$E$548,Transactions_View!$C$2:$C$548,A10,Transactions_View!$G$2:$G$548,"captured")</f>
        <v/>
      </c>
      <c r="D10" s="2">
        <f>COUNTIFS(Transactions_View!$C$2:$C$548,A10,Transactions_View!$G$2:$G$548,"captured")</f>
        <v/>
      </c>
      <c r="E10" s="8">
        <f>SUMIFS(Transactions_View!$E$2:$E$548,Transactions_View!$C$2:$C$548,A10,Transactions_View!$G$2:$G$548,"failed")</f>
        <v/>
      </c>
      <c r="F10" s="2">
        <f>COUNTIFS(Transactions_View!$C$2:$C$548,A10,Transactions_View!$G$2:$G$548,"failed")</f>
        <v/>
      </c>
      <c r="G10" s="8">
        <f>SUMIFS(Transactions_View!$E$2:$E$548,Transactions_View!$C$2:$C$548,A10,Transactions_View!$G$2:$G$548,"chargeback")</f>
        <v/>
      </c>
      <c r="H10" s="2">
        <f>COUNTIFS(Transactions_View!$C$2:$C$548,A10,Transactions_View!$G$2:$G$548,"chargeback")</f>
        <v/>
      </c>
      <c r="I10" s="8">
        <f>C10+E10+G10</f>
        <v/>
      </c>
      <c r="J10" s="2">
        <f>D10+F10+H10</f>
        <v/>
      </c>
    </row>
    <row r="11">
      <c r="A11" s="2" t="n">
        <v>9</v>
      </c>
      <c r="B11" s="2">
        <f>IFERROR(VLOOKUP(A11,Merchants!$A$2:$D$41,2,FALSE),"Merchant not found")</f>
        <v/>
      </c>
      <c r="C11" s="8">
        <f>SUMIFS(Transactions_View!$E$2:$E$548,Transactions_View!$C$2:$C$548,A11,Transactions_View!$G$2:$G$548,"captured")</f>
        <v/>
      </c>
      <c r="D11" s="2">
        <f>COUNTIFS(Transactions_View!$C$2:$C$548,A11,Transactions_View!$G$2:$G$548,"captured")</f>
        <v/>
      </c>
      <c r="E11" s="8">
        <f>SUMIFS(Transactions_View!$E$2:$E$548,Transactions_View!$C$2:$C$548,A11,Transactions_View!$G$2:$G$548,"failed")</f>
        <v/>
      </c>
      <c r="F11" s="2">
        <f>COUNTIFS(Transactions_View!$C$2:$C$548,A11,Transactions_View!$G$2:$G$548,"failed")</f>
        <v/>
      </c>
      <c r="G11" s="8">
        <f>SUMIFS(Transactions_View!$E$2:$E$548,Transactions_View!$C$2:$C$548,A11,Transactions_View!$G$2:$G$548,"chargeback")</f>
        <v/>
      </c>
      <c r="H11" s="2">
        <f>COUNTIFS(Transactions_View!$C$2:$C$548,A11,Transactions_View!$G$2:$G$548,"chargeback")</f>
        <v/>
      </c>
      <c r="I11" s="8">
        <f>C11+E11+G11</f>
        <v/>
      </c>
      <c r="J11" s="2">
        <f>D11+F11+H11</f>
        <v/>
      </c>
    </row>
    <row r="12">
      <c r="A12" s="2" t="n">
        <v>10</v>
      </c>
      <c r="B12" s="2">
        <f>IFERROR(VLOOKUP(A12,Merchants!$A$2:$D$41,2,FALSE),"Merchant not found")</f>
        <v/>
      </c>
      <c r="C12" s="8">
        <f>SUMIFS(Transactions_View!$E$2:$E$548,Transactions_View!$C$2:$C$548,A12,Transactions_View!$G$2:$G$548,"captured")</f>
        <v/>
      </c>
      <c r="D12" s="2">
        <f>COUNTIFS(Transactions_View!$C$2:$C$548,A12,Transactions_View!$G$2:$G$548,"captured")</f>
        <v/>
      </c>
      <c r="E12" s="8">
        <f>SUMIFS(Transactions_View!$E$2:$E$548,Transactions_View!$C$2:$C$548,A12,Transactions_View!$G$2:$G$548,"failed")</f>
        <v/>
      </c>
      <c r="F12" s="2">
        <f>COUNTIFS(Transactions_View!$C$2:$C$548,A12,Transactions_View!$G$2:$G$548,"failed")</f>
        <v/>
      </c>
      <c r="G12" s="8">
        <f>SUMIFS(Transactions_View!$E$2:$E$548,Transactions_View!$C$2:$C$548,A12,Transactions_View!$G$2:$G$548,"chargeback")</f>
        <v/>
      </c>
      <c r="H12" s="2">
        <f>COUNTIFS(Transactions_View!$C$2:$C$548,A12,Transactions_View!$G$2:$G$548,"chargeback")</f>
        <v/>
      </c>
      <c r="I12" s="8">
        <f>C12+E12+G12</f>
        <v/>
      </c>
      <c r="J12" s="2">
        <f>D12+F12+H12</f>
        <v/>
      </c>
    </row>
    <row r="13">
      <c r="A13" s="2" t="n">
        <v>11</v>
      </c>
      <c r="B13" s="2">
        <f>IFERROR(VLOOKUP(A13,Merchants!$A$2:$D$41,2,FALSE),"Merchant not found")</f>
        <v/>
      </c>
      <c r="C13" s="8">
        <f>SUMIFS(Transactions_View!$E$2:$E$548,Transactions_View!$C$2:$C$548,A13,Transactions_View!$G$2:$G$548,"captured")</f>
        <v/>
      </c>
      <c r="D13" s="2">
        <f>COUNTIFS(Transactions_View!$C$2:$C$548,A13,Transactions_View!$G$2:$G$548,"captured")</f>
        <v/>
      </c>
      <c r="E13" s="8">
        <f>SUMIFS(Transactions_View!$E$2:$E$548,Transactions_View!$C$2:$C$548,A13,Transactions_View!$G$2:$G$548,"failed")</f>
        <v/>
      </c>
      <c r="F13" s="2">
        <f>COUNTIFS(Transactions_View!$C$2:$C$548,A13,Transactions_View!$G$2:$G$548,"failed")</f>
        <v/>
      </c>
      <c r="G13" s="8">
        <f>SUMIFS(Transactions_View!$E$2:$E$548,Transactions_View!$C$2:$C$548,A13,Transactions_View!$G$2:$G$548,"chargeback")</f>
        <v/>
      </c>
      <c r="H13" s="2">
        <f>COUNTIFS(Transactions_View!$C$2:$C$548,A13,Transactions_View!$G$2:$G$548,"chargeback")</f>
        <v/>
      </c>
      <c r="I13" s="8">
        <f>C13+E13+G13</f>
        <v/>
      </c>
      <c r="J13" s="2">
        <f>D13+F13+H13</f>
        <v/>
      </c>
    </row>
    <row r="14">
      <c r="A14" s="2" t="n">
        <v>12</v>
      </c>
      <c r="B14" s="2">
        <f>IFERROR(VLOOKUP(A14,Merchants!$A$2:$D$41,2,FALSE),"Merchant not found")</f>
        <v/>
      </c>
      <c r="C14" s="8">
        <f>SUMIFS(Transactions_View!$E$2:$E$548,Transactions_View!$C$2:$C$548,A14,Transactions_View!$G$2:$G$548,"captured")</f>
        <v/>
      </c>
      <c r="D14" s="2">
        <f>COUNTIFS(Transactions_View!$C$2:$C$548,A14,Transactions_View!$G$2:$G$548,"captured")</f>
        <v/>
      </c>
      <c r="E14" s="8">
        <f>SUMIFS(Transactions_View!$E$2:$E$548,Transactions_View!$C$2:$C$548,A14,Transactions_View!$G$2:$G$548,"failed")</f>
        <v/>
      </c>
      <c r="F14" s="2">
        <f>COUNTIFS(Transactions_View!$C$2:$C$548,A14,Transactions_View!$G$2:$G$548,"failed")</f>
        <v/>
      </c>
      <c r="G14" s="8">
        <f>SUMIFS(Transactions_View!$E$2:$E$548,Transactions_View!$C$2:$C$548,A14,Transactions_View!$G$2:$G$548,"chargeback")</f>
        <v/>
      </c>
      <c r="H14" s="2">
        <f>COUNTIFS(Transactions_View!$C$2:$C$548,A14,Transactions_View!$G$2:$G$548,"chargeback")</f>
        <v/>
      </c>
      <c r="I14" s="8">
        <f>C14+E14+G14</f>
        <v/>
      </c>
      <c r="J14" s="2">
        <f>D14+F14+H14</f>
        <v/>
      </c>
    </row>
    <row r="15">
      <c r="A15" s="2" t="n">
        <v>13</v>
      </c>
      <c r="B15" s="2">
        <f>IFERROR(VLOOKUP(A15,Merchants!$A$2:$D$41,2,FALSE),"Merchant not found")</f>
        <v/>
      </c>
      <c r="C15" s="8">
        <f>SUMIFS(Transactions_View!$E$2:$E$548,Transactions_View!$C$2:$C$548,A15,Transactions_View!$G$2:$G$548,"captured")</f>
        <v/>
      </c>
      <c r="D15" s="2">
        <f>COUNTIFS(Transactions_View!$C$2:$C$548,A15,Transactions_View!$G$2:$G$548,"captured")</f>
        <v/>
      </c>
      <c r="E15" s="8">
        <f>SUMIFS(Transactions_View!$E$2:$E$548,Transactions_View!$C$2:$C$548,A15,Transactions_View!$G$2:$G$548,"failed")</f>
        <v/>
      </c>
      <c r="F15" s="2">
        <f>COUNTIFS(Transactions_View!$C$2:$C$548,A15,Transactions_View!$G$2:$G$548,"failed")</f>
        <v/>
      </c>
      <c r="G15" s="8">
        <f>SUMIFS(Transactions_View!$E$2:$E$548,Transactions_View!$C$2:$C$548,A15,Transactions_View!$G$2:$G$548,"chargeback")</f>
        <v/>
      </c>
      <c r="H15" s="2">
        <f>COUNTIFS(Transactions_View!$C$2:$C$548,A15,Transactions_View!$G$2:$G$548,"chargeback")</f>
        <v/>
      </c>
      <c r="I15" s="8">
        <f>C15+E15+G15</f>
        <v/>
      </c>
      <c r="J15" s="2">
        <f>D15+F15+H15</f>
        <v/>
      </c>
    </row>
    <row r="16">
      <c r="A16" s="2" t="n">
        <v>14</v>
      </c>
      <c r="B16" s="2">
        <f>IFERROR(VLOOKUP(A16,Merchants!$A$2:$D$41,2,FALSE),"Merchant not found")</f>
        <v/>
      </c>
      <c r="C16" s="8">
        <f>SUMIFS(Transactions_View!$E$2:$E$548,Transactions_View!$C$2:$C$548,A16,Transactions_View!$G$2:$G$548,"captured")</f>
        <v/>
      </c>
      <c r="D16" s="2">
        <f>COUNTIFS(Transactions_View!$C$2:$C$548,A16,Transactions_View!$G$2:$G$548,"captured")</f>
        <v/>
      </c>
      <c r="E16" s="8">
        <f>SUMIFS(Transactions_View!$E$2:$E$548,Transactions_View!$C$2:$C$548,A16,Transactions_View!$G$2:$G$548,"failed")</f>
        <v/>
      </c>
      <c r="F16" s="2">
        <f>COUNTIFS(Transactions_View!$C$2:$C$548,A16,Transactions_View!$G$2:$G$548,"failed")</f>
        <v/>
      </c>
      <c r="G16" s="8">
        <f>SUMIFS(Transactions_View!$E$2:$E$548,Transactions_View!$C$2:$C$548,A16,Transactions_View!$G$2:$G$548,"chargeback")</f>
        <v/>
      </c>
      <c r="H16" s="2">
        <f>COUNTIFS(Transactions_View!$C$2:$C$548,A16,Transactions_View!$G$2:$G$548,"chargeback")</f>
        <v/>
      </c>
      <c r="I16" s="8">
        <f>C16+E16+G16</f>
        <v/>
      </c>
      <c r="J16" s="2">
        <f>D16+F16+H16</f>
        <v/>
      </c>
    </row>
    <row r="17">
      <c r="A17" s="2" t="n">
        <v>15</v>
      </c>
      <c r="B17" s="2">
        <f>IFERROR(VLOOKUP(A17,Merchants!$A$2:$D$41,2,FALSE),"Merchant not found")</f>
        <v/>
      </c>
      <c r="C17" s="8">
        <f>SUMIFS(Transactions_View!$E$2:$E$548,Transactions_View!$C$2:$C$548,A17,Transactions_View!$G$2:$G$548,"captured")</f>
        <v/>
      </c>
      <c r="D17" s="2">
        <f>COUNTIFS(Transactions_View!$C$2:$C$548,A17,Transactions_View!$G$2:$G$548,"captured")</f>
        <v/>
      </c>
      <c r="E17" s="8">
        <f>SUMIFS(Transactions_View!$E$2:$E$548,Transactions_View!$C$2:$C$548,A17,Transactions_View!$G$2:$G$548,"failed")</f>
        <v/>
      </c>
      <c r="F17" s="2">
        <f>COUNTIFS(Transactions_View!$C$2:$C$548,A17,Transactions_View!$G$2:$G$548,"failed")</f>
        <v/>
      </c>
      <c r="G17" s="8">
        <f>SUMIFS(Transactions_View!$E$2:$E$548,Transactions_View!$C$2:$C$548,A17,Transactions_View!$G$2:$G$548,"chargeback")</f>
        <v/>
      </c>
      <c r="H17" s="2">
        <f>COUNTIFS(Transactions_View!$C$2:$C$548,A17,Transactions_View!$G$2:$G$548,"chargeback")</f>
        <v/>
      </c>
      <c r="I17" s="8">
        <f>C17+E17+G17</f>
        <v/>
      </c>
      <c r="J17" s="2">
        <f>D17+F17+H17</f>
        <v/>
      </c>
    </row>
    <row r="18">
      <c r="A18" s="2" t="n">
        <v>16</v>
      </c>
      <c r="B18" s="2">
        <f>IFERROR(VLOOKUP(A18,Merchants!$A$2:$D$41,2,FALSE),"Merchant not found")</f>
        <v/>
      </c>
      <c r="C18" s="8">
        <f>SUMIFS(Transactions_View!$E$2:$E$548,Transactions_View!$C$2:$C$548,A18,Transactions_View!$G$2:$G$548,"captured")</f>
        <v/>
      </c>
      <c r="D18" s="2">
        <f>COUNTIFS(Transactions_View!$C$2:$C$548,A18,Transactions_View!$G$2:$G$548,"captured")</f>
        <v/>
      </c>
      <c r="E18" s="8">
        <f>SUMIFS(Transactions_View!$E$2:$E$548,Transactions_View!$C$2:$C$548,A18,Transactions_View!$G$2:$G$548,"failed")</f>
        <v/>
      </c>
      <c r="F18" s="2">
        <f>COUNTIFS(Transactions_View!$C$2:$C$548,A18,Transactions_View!$G$2:$G$548,"failed")</f>
        <v/>
      </c>
      <c r="G18" s="8">
        <f>SUMIFS(Transactions_View!$E$2:$E$548,Transactions_View!$C$2:$C$548,A18,Transactions_View!$G$2:$G$548,"chargeback")</f>
        <v/>
      </c>
      <c r="H18" s="2">
        <f>COUNTIFS(Transactions_View!$C$2:$C$548,A18,Transactions_View!$G$2:$G$548,"chargeback")</f>
        <v/>
      </c>
      <c r="I18" s="8">
        <f>C18+E18+G18</f>
        <v/>
      </c>
      <c r="J18" s="2">
        <f>D18+F18+H18</f>
        <v/>
      </c>
    </row>
    <row r="19">
      <c r="A19" s="2" t="n">
        <v>17</v>
      </c>
      <c r="B19" s="2">
        <f>IFERROR(VLOOKUP(A19,Merchants!$A$2:$D$41,2,FALSE),"Merchant not found")</f>
        <v/>
      </c>
      <c r="C19" s="8">
        <f>SUMIFS(Transactions_View!$E$2:$E$548,Transactions_View!$C$2:$C$548,A19,Transactions_View!$G$2:$G$548,"captured")</f>
        <v/>
      </c>
      <c r="D19" s="2">
        <f>COUNTIFS(Transactions_View!$C$2:$C$548,A19,Transactions_View!$G$2:$G$548,"captured")</f>
        <v/>
      </c>
      <c r="E19" s="8">
        <f>SUMIFS(Transactions_View!$E$2:$E$548,Transactions_View!$C$2:$C$548,A19,Transactions_View!$G$2:$G$548,"failed")</f>
        <v/>
      </c>
      <c r="F19" s="2">
        <f>COUNTIFS(Transactions_View!$C$2:$C$548,A19,Transactions_View!$G$2:$G$548,"failed")</f>
        <v/>
      </c>
      <c r="G19" s="8">
        <f>SUMIFS(Transactions_View!$E$2:$E$548,Transactions_View!$C$2:$C$548,A19,Transactions_View!$G$2:$G$548,"chargeback")</f>
        <v/>
      </c>
      <c r="H19" s="2">
        <f>COUNTIFS(Transactions_View!$C$2:$C$548,A19,Transactions_View!$G$2:$G$548,"chargeback")</f>
        <v/>
      </c>
      <c r="I19" s="8">
        <f>C19+E19+G19</f>
        <v/>
      </c>
      <c r="J19" s="2">
        <f>D19+F19+H19</f>
        <v/>
      </c>
    </row>
    <row r="20">
      <c r="A20" s="2" t="n">
        <v>18</v>
      </c>
      <c r="B20" s="2">
        <f>IFERROR(VLOOKUP(A20,Merchants!$A$2:$D$41,2,FALSE),"Merchant not found")</f>
        <v/>
      </c>
      <c r="C20" s="8">
        <f>SUMIFS(Transactions_View!$E$2:$E$548,Transactions_View!$C$2:$C$548,A20,Transactions_View!$G$2:$G$548,"captured")</f>
        <v/>
      </c>
      <c r="D20" s="2">
        <f>COUNTIFS(Transactions_View!$C$2:$C$548,A20,Transactions_View!$G$2:$G$548,"captured")</f>
        <v/>
      </c>
      <c r="E20" s="8">
        <f>SUMIFS(Transactions_View!$E$2:$E$548,Transactions_View!$C$2:$C$548,A20,Transactions_View!$G$2:$G$548,"failed")</f>
        <v/>
      </c>
      <c r="F20" s="2">
        <f>COUNTIFS(Transactions_View!$C$2:$C$548,A20,Transactions_View!$G$2:$G$548,"failed")</f>
        <v/>
      </c>
      <c r="G20" s="8">
        <f>SUMIFS(Transactions_View!$E$2:$E$548,Transactions_View!$C$2:$C$548,A20,Transactions_View!$G$2:$G$548,"chargeback")</f>
        <v/>
      </c>
      <c r="H20" s="2">
        <f>COUNTIFS(Transactions_View!$C$2:$C$548,A20,Transactions_View!$G$2:$G$548,"chargeback")</f>
        <v/>
      </c>
      <c r="I20" s="8">
        <f>C20+E20+G20</f>
        <v/>
      </c>
      <c r="J20" s="2">
        <f>D20+F20+H20</f>
        <v/>
      </c>
    </row>
    <row r="21">
      <c r="A21" s="2" t="n">
        <v>19</v>
      </c>
      <c r="B21" s="2">
        <f>IFERROR(VLOOKUP(A21,Merchants!$A$2:$D$41,2,FALSE),"Merchant not found")</f>
        <v/>
      </c>
      <c r="C21" s="8">
        <f>SUMIFS(Transactions_View!$E$2:$E$548,Transactions_View!$C$2:$C$548,A21,Transactions_View!$G$2:$G$548,"captured")</f>
        <v/>
      </c>
      <c r="D21" s="2">
        <f>COUNTIFS(Transactions_View!$C$2:$C$548,A21,Transactions_View!$G$2:$G$548,"captured")</f>
        <v/>
      </c>
      <c r="E21" s="8">
        <f>SUMIFS(Transactions_View!$E$2:$E$548,Transactions_View!$C$2:$C$548,A21,Transactions_View!$G$2:$G$548,"failed")</f>
        <v/>
      </c>
      <c r="F21" s="2">
        <f>COUNTIFS(Transactions_View!$C$2:$C$548,A21,Transactions_View!$G$2:$G$548,"failed")</f>
        <v/>
      </c>
      <c r="G21" s="8">
        <f>SUMIFS(Transactions_View!$E$2:$E$548,Transactions_View!$C$2:$C$548,A21,Transactions_View!$G$2:$G$548,"chargeback")</f>
        <v/>
      </c>
      <c r="H21" s="2">
        <f>COUNTIFS(Transactions_View!$C$2:$C$548,A21,Transactions_View!$G$2:$G$548,"chargeback")</f>
        <v/>
      </c>
      <c r="I21" s="8">
        <f>C21+E21+G21</f>
        <v/>
      </c>
      <c r="J21" s="2">
        <f>D21+F21+H21</f>
        <v/>
      </c>
    </row>
    <row r="22">
      <c r="A22" s="2" t="n">
        <v>20</v>
      </c>
      <c r="B22" s="2">
        <f>IFERROR(VLOOKUP(A22,Merchants!$A$2:$D$41,2,FALSE),"Merchant not found")</f>
        <v/>
      </c>
      <c r="C22" s="8">
        <f>SUMIFS(Transactions_View!$E$2:$E$548,Transactions_View!$C$2:$C$548,A22,Transactions_View!$G$2:$G$548,"captured")</f>
        <v/>
      </c>
      <c r="D22" s="2">
        <f>COUNTIFS(Transactions_View!$C$2:$C$548,A22,Transactions_View!$G$2:$G$548,"captured")</f>
        <v/>
      </c>
      <c r="E22" s="8">
        <f>SUMIFS(Transactions_View!$E$2:$E$548,Transactions_View!$C$2:$C$548,A22,Transactions_View!$G$2:$G$548,"failed")</f>
        <v/>
      </c>
      <c r="F22" s="2">
        <f>COUNTIFS(Transactions_View!$C$2:$C$548,A22,Transactions_View!$G$2:$G$548,"failed")</f>
        <v/>
      </c>
      <c r="G22" s="8">
        <f>SUMIFS(Transactions_View!$E$2:$E$548,Transactions_View!$C$2:$C$548,A22,Transactions_View!$G$2:$G$548,"chargeback")</f>
        <v/>
      </c>
      <c r="H22" s="2">
        <f>COUNTIFS(Transactions_View!$C$2:$C$548,A22,Transactions_View!$G$2:$G$548,"chargeback")</f>
        <v/>
      </c>
      <c r="I22" s="8">
        <f>C22+E22+G22</f>
        <v/>
      </c>
      <c r="J22" s="2">
        <f>D22+F22+H22</f>
        <v/>
      </c>
    </row>
    <row r="23">
      <c r="A23" s="2" t="n">
        <v>21</v>
      </c>
      <c r="B23" s="2">
        <f>IFERROR(VLOOKUP(A23,Merchants!$A$2:$D$41,2,FALSE),"Merchant not found")</f>
        <v/>
      </c>
      <c r="C23" s="8">
        <f>SUMIFS(Transactions_View!$E$2:$E$548,Transactions_View!$C$2:$C$548,A23,Transactions_View!$G$2:$G$548,"captured")</f>
        <v/>
      </c>
      <c r="D23" s="2">
        <f>COUNTIFS(Transactions_View!$C$2:$C$548,A23,Transactions_View!$G$2:$G$548,"captured")</f>
        <v/>
      </c>
      <c r="E23" s="8">
        <f>SUMIFS(Transactions_View!$E$2:$E$548,Transactions_View!$C$2:$C$548,A23,Transactions_View!$G$2:$G$548,"failed")</f>
        <v/>
      </c>
      <c r="F23" s="2">
        <f>COUNTIFS(Transactions_View!$C$2:$C$548,A23,Transactions_View!$G$2:$G$548,"failed")</f>
        <v/>
      </c>
      <c r="G23" s="8">
        <f>SUMIFS(Transactions_View!$E$2:$E$548,Transactions_View!$C$2:$C$548,A23,Transactions_View!$G$2:$G$548,"chargeback")</f>
        <v/>
      </c>
      <c r="H23" s="2">
        <f>COUNTIFS(Transactions_View!$C$2:$C$548,A23,Transactions_View!$G$2:$G$548,"chargeback")</f>
        <v/>
      </c>
      <c r="I23" s="8">
        <f>C23+E23+G23</f>
        <v/>
      </c>
      <c r="J23" s="2">
        <f>D23+F23+H23</f>
        <v/>
      </c>
    </row>
    <row r="24">
      <c r="A24" s="2" t="n">
        <v>22</v>
      </c>
      <c r="B24" s="2">
        <f>IFERROR(VLOOKUP(A24,Merchants!$A$2:$D$41,2,FALSE),"Merchant not found")</f>
        <v/>
      </c>
      <c r="C24" s="8">
        <f>SUMIFS(Transactions_View!$E$2:$E$548,Transactions_View!$C$2:$C$548,A24,Transactions_View!$G$2:$G$548,"captured")</f>
        <v/>
      </c>
      <c r="D24" s="2">
        <f>COUNTIFS(Transactions_View!$C$2:$C$548,A24,Transactions_View!$G$2:$G$548,"captured")</f>
        <v/>
      </c>
      <c r="E24" s="8">
        <f>SUMIFS(Transactions_View!$E$2:$E$548,Transactions_View!$C$2:$C$548,A24,Transactions_View!$G$2:$G$548,"failed")</f>
        <v/>
      </c>
      <c r="F24" s="2">
        <f>COUNTIFS(Transactions_View!$C$2:$C$548,A24,Transactions_View!$G$2:$G$548,"failed")</f>
        <v/>
      </c>
      <c r="G24" s="8">
        <f>SUMIFS(Transactions_View!$E$2:$E$548,Transactions_View!$C$2:$C$548,A24,Transactions_View!$G$2:$G$548,"chargeback")</f>
        <v/>
      </c>
      <c r="H24" s="2">
        <f>COUNTIFS(Transactions_View!$C$2:$C$548,A24,Transactions_View!$G$2:$G$548,"chargeback")</f>
        <v/>
      </c>
      <c r="I24" s="8">
        <f>C24+E24+G24</f>
        <v/>
      </c>
      <c r="J24" s="2">
        <f>D24+F24+H24</f>
        <v/>
      </c>
    </row>
    <row r="25">
      <c r="A25" s="2" t="n">
        <v>23</v>
      </c>
      <c r="B25" s="2">
        <f>IFERROR(VLOOKUP(A25,Merchants!$A$2:$D$41,2,FALSE),"Merchant not found")</f>
        <v/>
      </c>
      <c r="C25" s="8">
        <f>SUMIFS(Transactions_View!$E$2:$E$548,Transactions_View!$C$2:$C$548,A25,Transactions_View!$G$2:$G$548,"captured")</f>
        <v/>
      </c>
      <c r="D25" s="2">
        <f>COUNTIFS(Transactions_View!$C$2:$C$548,A25,Transactions_View!$G$2:$G$548,"captured")</f>
        <v/>
      </c>
      <c r="E25" s="8">
        <f>SUMIFS(Transactions_View!$E$2:$E$548,Transactions_View!$C$2:$C$548,A25,Transactions_View!$G$2:$G$548,"failed")</f>
        <v/>
      </c>
      <c r="F25" s="2">
        <f>COUNTIFS(Transactions_View!$C$2:$C$548,A25,Transactions_View!$G$2:$G$548,"failed")</f>
        <v/>
      </c>
      <c r="G25" s="8">
        <f>SUMIFS(Transactions_View!$E$2:$E$548,Transactions_View!$C$2:$C$548,A25,Transactions_View!$G$2:$G$548,"chargeback")</f>
        <v/>
      </c>
      <c r="H25" s="2">
        <f>COUNTIFS(Transactions_View!$C$2:$C$548,A25,Transactions_View!$G$2:$G$548,"chargeback")</f>
        <v/>
      </c>
      <c r="I25" s="8">
        <f>C25+E25+G25</f>
        <v/>
      </c>
      <c r="J25" s="2">
        <f>D25+F25+H25</f>
        <v/>
      </c>
    </row>
    <row r="26">
      <c r="A26" s="2" t="n">
        <v>24</v>
      </c>
      <c r="B26" s="2">
        <f>IFERROR(VLOOKUP(A26,Merchants!$A$2:$D$41,2,FALSE),"Merchant not found")</f>
        <v/>
      </c>
      <c r="C26" s="8">
        <f>SUMIFS(Transactions_View!$E$2:$E$548,Transactions_View!$C$2:$C$548,A26,Transactions_View!$G$2:$G$548,"captured")</f>
        <v/>
      </c>
      <c r="D26" s="2">
        <f>COUNTIFS(Transactions_View!$C$2:$C$548,A26,Transactions_View!$G$2:$G$548,"captured")</f>
        <v/>
      </c>
      <c r="E26" s="8">
        <f>SUMIFS(Transactions_View!$E$2:$E$548,Transactions_View!$C$2:$C$548,A26,Transactions_View!$G$2:$G$548,"failed")</f>
        <v/>
      </c>
      <c r="F26" s="2">
        <f>COUNTIFS(Transactions_View!$C$2:$C$548,A26,Transactions_View!$G$2:$G$548,"failed")</f>
        <v/>
      </c>
      <c r="G26" s="8">
        <f>SUMIFS(Transactions_View!$E$2:$E$548,Transactions_View!$C$2:$C$548,A26,Transactions_View!$G$2:$G$548,"chargeback")</f>
        <v/>
      </c>
      <c r="H26" s="2">
        <f>COUNTIFS(Transactions_View!$C$2:$C$548,A26,Transactions_View!$G$2:$G$548,"chargeback")</f>
        <v/>
      </c>
      <c r="I26" s="8">
        <f>C26+E26+G26</f>
        <v/>
      </c>
      <c r="J26" s="2">
        <f>D26+F26+H26</f>
        <v/>
      </c>
    </row>
    <row r="27">
      <c r="A27" s="2" t="n">
        <v>25</v>
      </c>
      <c r="B27" s="2">
        <f>IFERROR(VLOOKUP(A27,Merchants!$A$2:$D$41,2,FALSE),"Merchant not found")</f>
        <v/>
      </c>
      <c r="C27" s="8">
        <f>SUMIFS(Transactions_View!$E$2:$E$548,Transactions_View!$C$2:$C$548,A27,Transactions_View!$G$2:$G$548,"captured")</f>
        <v/>
      </c>
      <c r="D27" s="2">
        <f>COUNTIFS(Transactions_View!$C$2:$C$548,A27,Transactions_View!$G$2:$G$548,"captured")</f>
        <v/>
      </c>
      <c r="E27" s="8">
        <f>SUMIFS(Transactions_View!$E$2:$E$548,Transactions_View!$C$2:$C$548,A27,Transactions_View!$G$2:$G$548,"failed")</f>
        <v/>
      </c>
      <c r="F27" s="2">
        <f>COUNTIFS(Transactions_View!$C$2:$C$548,A27,Transactions_View!$G$2:$G$548,"failed")</f>
        <v/>
      </c>
      <c r="G27" s="8">
        <f>SUMIFS(Transactions_View!$E$2:$E$548,Transactions_View!$C$2:$C$548,A27,Transactions_View!$G$2:$G$548,"chargeback")</f>
        <v/>
      </c>
      <c r="H27" s="2">
        <f>COUNTIFS(Transactions_View!$C$2:$C$548,A27,Transactions_View!$G$2:$G$548,"chargeback")</f>
        <v/>
      </c>
      <c r="I27" s="8">
        <f>C27+E27+G27</f>
        <v/>
      </c>
      <c r="J27" s="2">
        <f>D27+F27+H27</f>
        <v/>
      </c>
    </row>
    <row r="28">
      <c r="A28" s="2" t="n">
        <v>26</v>
      </c>
      <c r="B28" s="2">
        <f>IFERROR(VLOOKUP(A28,Merchants!$A$2:$D$41,2,FALSE),"Merchant not found")</f>
        <v/>
      </c>
      <c r="C28" s="8">
        <f>SUMIFS(Transactions_View!$E$2:$E$548,Transactions_View!$C$2:$C$548,A28,Transactions_View!$G$2:$G$548,"captured")</f>
        <v/>
      </c>
      <c r="D28" s="2">
        <f>COUNTIFS(Transactions_View!$C$2:$C$548,A28,Transactions_View!$G$2:$G$548,"captured")</f>
        <v/>
      </c>
      <c r="E28" s="8">
        <f>SUMIFS(Transactions_View!$E$2:$E$548,Transactions_View!$C$2:$C$548,A28,Transactions_View!$G$2:$G$548,"failed")</f>
        <v/>
      </c>
      <c r="F28" s="2">
        <f>COUNTIFS(Transactions_View!$C$2:$C$548,A28,Transactions_View!$G$2:$G$548,"failed")</f>
        <v/>
      </c>
      <c r="G28" s="8">
        <f>SUMIFS(Transactions_View!$E$2:$E$548,Transactions_View!$C$2:$C$548,A28,Transactions_View!$G$2:$G$548,"chargeback")</f>
        <v/>
      </c>
      <c r="H28" s="2">
        <f>COUNTIFS(Transactions_View!$C$2:$C$548,A28,Transactions_View!$G$2:$G$548,"chargeback")</f>
        <v/>
      </c>
      <c r="I28" s="8">
        <f>C28+E28+G28</f>
        <v/>
      </c>
      <c r="J28" s="2">
        <f>D28+F28+H28</f>
        <v/>
      </c>
    </row>
    <row r="29">
      <c r="A29" s="2" t="n">
        <v>27</v>
      </c>
      <c r="B29" s="2">
        <f>IFERROR(VLOOKUP(A29,Merchants!$A$2:$D$41,2,FALSE),"Merchant not found")</f>
        <v/>
      </c>
      <c r="C29" s="8">
        <f>SUMIFS(Transactions_View!$E$2:$E$548,Transactions_View!$C$2:$C$548,A29,Transactions_View!$G$2:$G$548,"captured")</f>
        <v/>
      </c>
      <c r="D29" s="2">
        <f>COUNTIFS(Transactions_View!$C$2:$C$548,A29,Transactions_View!$G$2:$G$548,"captured")</f>
        <v/>
      </c>
      <c r="E29" s="8">
        <f>SUMIFS(Transactions_View!$E$2:$E$548,Transactions_View!$C$2:$C$548,A29,Transactions_View!$G$2:$G$548,"failed")</f>
        <v/>
      </c>
      <c r="F29" s="2">
        <f>COUNTIFS(Transactions_View!$C$2:$C$548,A29,Transactions_View!$G$2:$G$548,"failed")</f>
        <v/>
      </c>
      <c r="G29" s="8">
        <f>SUMIFS(Transactions_View!$E$2:$E$548,Transactions_View!$C$2:$C$548,A29,Transactions_View!$G$2:$G$548,"chargeback")</f>
        <v/>
      </c>
      <c r="H29" s="2">
        <f>COUNTIFS(Transactions_View!$C$2:$C$548,A29,Transactions_View!$G$2:$G$548,"chargeback")</f>
        <v/>
      </c>
      <c r="I29" s="8">
        <f>C29+E29+G29</f>
        <v/>
      </c>
      <c r="J29" s="2">
        <f>D29+F29+H29</f>
        <v/>
      </c>
    </row>
    <row r="30">
      <c r="A30" s="2" t="n">
        <v>28</v>
      </c>
      <c r="B30" s="2">
        <f>IFERROR(VLOOKUP(A30,Merchants!$A$2:$D$41,2,FALSE),"Merchant not found")</f>
        <v/>
      </c>
      <c r="C30" s="8">
        <f>SUMIFS(Transactions_View!$E$2:$E$548,Transactions_View!$C$2:$C$548,A30,Transactions_View!$G$2:$G$548,"captured")</f>
        <v/>
      </c>
      <c r="D30" s="2">
        <f>COUNTIFS(Transactions_View!$C$2:$C$548,A30,Transactions_View!$G$2:$G$548,"captured")</f>
        <v/>
      </c>
      <c r="E30" s="8">
        <f>SUMIFS(Transactions_View!$E$2:$E$548,Transactions_View!$C$2:$C$548,A30,Transactions_View!$G$2:$G$548,"failed")</f>
        <v/>
      </c>
      <c r="F30" s="2">
        <f>COUNTIFS(Transactions_View!$C$2:$C$548,A30,Transactions_View!$G$2:$G$548,"failed")</f>
        <v/>
      </c>
      <c r="G30" s="8">
        <f>SUMIFS(Transactions_View!$E$2:$E$548,Transactions_View!$C$2:$C$548,A30,Transactions_View!$G$2:$G$548,"chargeback")</f>
        <v/>
      </c>
      <c r="H30" s="2">
        <f>COUNTIFS(Transactions_View!$C$2:$C$548,A30,Transactions_View!$G$2:$G$548,"chargeback")</f>
        <v/>
      </c>
      <c r="I30" s="8">
        <f>C30+E30+G30</f>
        <v/>
      </c>
      <c r="J30" s="2">
        <f>D30+F30+H30</f>
        <v/>
      </c>
    </row>
    <row r="31">
      <c r="A31" s="2" t="n">
        <v>29</v>
      </c>
      <c r="B31" s="2">
        <f>IFERROR(VLOOKUP(A31,Merchants!$A$2:$D$41,2,FALSE),"Merchant not found")</f>
        <v/>
      </c>
      <c r="C31" s="8">
        <f>SUMIFS(Transactions_View!$E$2:$E$548,Transactions_View!$C$2:$C$548,A31,Transactions_View!$G$2:$G$548,"captured")</f>
        <v/>
      </c>
      <c r="D31" s="2">
        <f>COUNTIFS(Transactions_View!$C$2:$C$548,A31,Transactions_View!$G$2:$G$548,"captured")</f>
        <v/>
      </c>
      <c r="E31" s="8">
        <f>SUMIFS(Transactions_View!$E$2:$E$548,Transactions_View!$C$2:$C$548,A31,Transactions_View!$G$2:$G$548,"failed")</f>
        <v/>
      </c>
      <c r="F31" s="2">
        <f>COUNTIFS(Transactions_View!$C$2:$C$548,A31,Transactions_View!$G$2:$G$548,"failed")</f>
        <v/>
      </c>
      <c r="G31" s="8">
        <f>SUMIFS(Transactions_View!$E$2:$E$548,Transactions_View!$C$2:$C$548,A31,Transactions_View!$G$2:$G$548,"chargeback")</f>
        <v/>
      </c>
      <c r="H31" s="2">
        <f>COUNTIFS(Transactions_View!$C$2:$C$548,A31,Transactions_View!$G$2:$G$548,"chargeback")</f>
        <v/>
      </c>
      <c r="I31" s="8">
        <f>C31+E31+G31</f>
        <v/>
      </c>
      <c r="J31" s="2">
        <f>D31+F31+H31</f>
        <v/>
      </c>
    </row>
    <row r="32">
      <c r="A32" s="2" t="n">
        <v>30</v>
      </c>
      <c r="B32" s="2">
        <f>IFERROR(VLOOKUP(A32,Merchants!$A$2:$D$41,2,FALSE),"Merchant not found")</f>
        <v/>
      </c>
      <c r="C32" s="8">
        <f>SUMIFS(Transactions_View!$E$2:$E$548,Transactions_View!$C$2:$C$548,A32,Transactions_View!$G$2:$G$548,"captured")</f>
        <v/>
      </c>
      <c r="D32" s="2">
        <f>COUNTIFS(Transactions_View!$C$2:$C$548,A32,Transactions_View!$G$2:$G$548,"captured")</f>
        <v/>
      </c>
      <c r="E32" s="8">
        <f>SUMIFS(Transactions_View!$E$2:$E$548,Transactions_View!$C$2:$C$548,A32,Transactions_View!$G$2:$G$548,"failed")</f>
        <v/>
      </c>
      <c r="F32" s="2">
        <f>COUNTIFS(Transactions_View!$C$2:$C$548,A32,Transactions_View!$G$2:$G$548,"failed")</f>
        <v/>
      </c>
      <c r="G32" s="8">
        <f>SUMIFS(Transactions_View!$E$2:$E$548,Transactions_View!$C$2:$C$548,A32,Transactions_View!$G$2:$G$548,"chargeback")</f>
        <v/>
      </c>
      <c r="H32" s="2">
        <f>COUNTIFS(Transactions_View!$C$2:$C$548,A32,Transactions_View!$G$2:$G$548,"chargeback")</f>
        <v/>
      </c>
      <c r="I32" s="8">
        <f>C32+E32+G32</f>
        <v/>
      </c>
      <c r="J32" s="2">
        <f>D32+F32+H32</f>
        <v/>
      </c>
    </row>
    <row r="33">
      <c r="A33" s="2" t="n">
        <v>31</v>
      </c>
      <c r="B33" s="2">
        <f>IFERROR(VLOOKUP(A33,Merchants!$A$2:$D$41,2,FALSE),"Merchant not found")</f>
        <v/>
      </c>
      <c r="C33" s="8">
        <f>SUMIFS(Transactions_View!$E$2:$E$548,Transactions_View!$C$2:$C$548,A33,Transactions_View!$G$2:$G$548,"captured")</f>
        <v/>
      </c>
      <c r="D33" s="2">
        <f>COUNTIFS(Transactions_View!$C$2:$C$548,A33,Transactions_View!$G$2:$G$548,"captured")</f>
        <v/>
      </c>
      <c r="E33" s="8">
        <f>SUMIFS(Transactions_View!$E$2:$E$548,Transactions_View!$C$2:$C$548,A33,Transactions_View!$G$2:$G$548,"failed")</f>
        <v/>
      </c>
      <c r="F33" s="2">
        <f>COUNTIFS(Transactions_View!$C$2:$C$548,A33,Transactions_View!$G$2:$G$548,"failed")</f>
        <v/>
      </c>
      <c r="G33" s="8">
        <f>SUMIFS(Transactions_View!$E$2:$E$548,Transactions_View!$C$2:$C$548,A33,Transactions_View!$G$2:$G$548,"chargeback")</f>
        <v/>
      </c>
      <c r="H33" s="2">
        <f>COUNTIFS(Transactions_View!$C$2:$C$548,A33,Transactions_View!$G$2:$G$548,"chargeback")</f>
        <v/>
      </c>
      <c r="I33" s="8">
        <f>C33+E33+G33</f>
        <v/>
      </c>
      <c r="J33" s="2">
        <f>D33+F33+H33</f>
        <v/>
      </c>
    </row>
    <row r="34">
      <c r="A34" s="2" t="n">
        <v>32</v>
      </c>
      <c r="B34" s="2">
        <f>IFERROR(VLOOKUP(A34,Merchants!$A$2:$D$41,2,FALSE),"Merchant not found")</f>
        <v/>
      </c>
      <c r="C34" s="8">
        <f>SUMIFS(Transactions_View!$E$2:$E$548,Transactions_View!$C$2:$C$548,A34,Transactions_View!$G$2:$G$548,"captured")</f>
        <v/>
      </c>
      <c r="D34" s="2">
        <f>COUNTIFS(Transactions_View!$C$2:$C$548,A34,Transactions_View!$G$2:$G$548,"captured")</f>
        <v/>
      </c>
      <c r="E34" s="8">
        <f>SUMIFS(Transactions_View!$E$2:$E$548,Transactions_View!$C$2:$C$548,A34,Transactions_View!$G$2:$G$548,"failed")</f>
        <v/>
      </c>
      <c r="F34" s="2">
        <f>COUNTIFS(Transactions_View!$C$2:$C$548,A34,Transactions_View!$G$2:$G$548,"failed")</f>
        <v/>
      </c>
      <c r="G34" s="8">
        <f>SUMIFS(Transactions_View!$E$2:$E$548,Transactions_View!$C$2:$C$548,A34,Transactions_View!$G$2:$G$548,"chargeback")</f>
        <v/>
      </c>
      <c r="H34" s="2">
        <f>COUNTIFS(Transactions_View!$C$2:$C$548,A34,Transactions_View!$G$2:$G$548,"chargeback")</f>
        <v/>
      </c>
      <c r="I34" s="8">
        <f>C34+E34+G34</f>
        <v/>
      </c>
      <c r="J34" s="2">
        <f>D34+F34+H34</f>
        <v/>
      </c>
    </row>
    <row r="35">
      <c r="A35" s="2" t="n">
        <v>33</v>
      </c>
      <c r="B35" s="2">
        <f>IFERROR(VLOOKUP(A35,Merchants!$A$2:$D$41,2,FALSE),"Merchant not found")</f>
        <v/>
      </c>
      <c r="C35" s="8">
        <f>SUMIFS(Transactions_View!$E$2:$E$548,Transactions_View!$C$2:$C$548,A35,Transactions_View!$G$2:$G$548,"captured")</f>
        <v/>
      </c>
      <c r="D35" s="2">
        <f>COUNTIFS(Transactions_View!$C$2:$C$548,A35,Transactions_View!$G$2:$G$548,"captured")</f>
        <v/>
      </c>
      <c r="E35" s="8">
        <f>SUMIFS(Transactions_View!$E$2:$E$548,Transactions_View!$C$2:$C$548,A35,Transactions_View!$G$2:$G$548,"failed")</f>
        <v/>
      </c>
      <c r="F35" s="2">
        <f>COUNTIFS(Transactions_View!$C$2:$C$548,A35,Transactions_View!$G$2:$G$548,"failed")</f>
        <v/>
      </c>
      <c r="G35" s="8">
        <f>SUMIFS(Transactions_View!$E$2:$E$548,Transactions_View!$C$2:$C$548,A35,Transactions_View!$G$2:$G$548,"chargeback")</f>
        <v/>
      </c>
      <c r="H35" s="2">
        <f>COUNTIFS(Transactions_View!$C$2:$C$548,A35,Transactions_View!$G$2:$G$548,"chargeback")</f>
        <v/>
      </c>
      <c r="I35" s="8">
        <f>C35+E35+G35</f>
        <v/>
      </c>
      <c r="J35" s="2">
        <f>D35+F35+H35</f>
        <v/>
      </c>
    </row>
    <row r="36">
      <c r="A36" s="2" t="n">
        <v>34</v>
      </c>
      <c r="B36" s="2">
        <f>IFERROR(VLOOKUP(A36,Merchants!$A$2:$D$41,2,FALSE),"Merchant not found")</f>
        <v/>
      </c>
      <c r="C36" s="8">
        <f>SUMIFS(Transactions_View!$E$2:$E$548,Transactions_View!$C$2:$C$548,A36,Transactions_View!$G$2:$G$548,"captured")</f>
        <v/>
      </c>
      <c r="D36" s="2">
        <f>COUNTIFS(Transactions_View!$C$2:$C$548,A36,Transactions_View!$G$2:$G$548,"captured")</f>
        <v/>
      </c>
      <c r="E36" s="8">
        <f>SUMIFS(Transactions_View!$E$2:$E$548,Transactions_View!$C$2:$C$548,A36,Transactions_View!$G$2:$G$548,"failed")</f>
        <v/>
      </c>
      <c r="F36" s="2">
        <f>COUNTIFS(Transactions_View!$C$2:$C$548,A36,Transactions_View!$G$2:$G$548,"failed")</f>
        <v/>
      </c>
      <c r="G36" s="8">
        <f>SUMIFS(Transactions_View!$E$2:$E$548,Transactions_View!$C$2:$C$548,A36,Transactions_View!$G$2:$G$548,"chargeback")</f>
        <v/>
      </c>
      <c r="H36" s="2">
        <f>COUNTIFS(Transactions_View!$C$2:$C$548,A36,Transactions_View!$G$2:$G$548,"chargeback")</f>
        <v/>
      </c>
      <c r="I36" s="8">
        <f>C36+E36+G36</f>
        <v/>
      </c>
      <c r="J36" s="2">
        <f>D36+F36+H36</f>
        <v/>
      </c>
    </row>
    <row r="37">
      <c r="A37" s="2" t="n">
        <v>35</v>
      </c>
      <c r="B37" s="2">
        <f>IFERROR(VLOOKUP(A37,Merchants!$A$2:$D$41,2,FALSE),"Merchant not found")</f>
        <v/>
      </c>
      <c r="C37" s="8">
        <f>SUMIFS(Transactions_View!$E$2:$E$548,Transactions_View!$C$2:$C$548,A37,Transactions_View!$G$2:$G$548,"captured")</f>
        <v/>
      </c>
      <c r="D37" s="2">
        <f>COUNTIFS(Transactions_View!$C$2:$C$548,A37,Transactions_View!$G$2:$G$548,"captured")</f>
        <v/>
      </c>
      <c r="E37" s="8">
        <f>SUMIFS(Transactions_View!$E$2:$E$548,Transactions_View!$C$2:$C$548,A37,Transactions_View!$G$2:$G$548,"failed")</f>
        <v/>
      </c>
      <c r="F37" s="2">
        <f>COUNTIFS(Transactions_View!$C$2:$C$548,A37,Transactions_View!$G$2:$G$548,"failed")</f>
        <v/>
      </c>
      <c r="G37" s="8">
        <f>SUMIFS(Transactions_View!$E$2:$E$548,Transactions_View!$C$2:$C$548,A37,Transactions_View!$G$2:$G$548,"chargeback")</f>
        <v/>
      </c>
      <c r="H37" s="2">
        <f>COUNTIFS(Transactions_View!$C$2:$C$548,A37,Transactions_View!$G$2:$G$548,"chargeback")</f>
        <v/>
      </c>
      <c r="I37" s="8">
        <f>C37+E37+G37</f>
        <v/>
      </c>
      <c r="J37" s="2">
        <f>D37+F37+H37</f>
        <v/>
      </c>
    </row>
    <row r="38">
      <c r="A38" s="2" t="n">
        <v>36</v>
      </c>
      <c r="B38" s="2">
        <f>IFERROR(VLOOKUP(A38,Merchants!$A$2:$D$41,2,FALSE),"Merchant not found")</f>
        <v/>
      </c>
      <c r="C38" s="8">
        <f>SUMIFS(Transactions_View!$E$2:$E$548,Transactions_View!$C$2:$C$548,A38,Transactions_View!$G$2:$G$548,"captured")</f>
        <v/>
      </c>
      <c r="D38" s="2">
        <f>COUNTIFS(Transactions_View!$C$2:$C$548,A38,Transactions_View!$G$2:$G$548,"captured")</f>
        <v/>
      </c>
      <c r="E38" s="8">
        <f>SUMIFS(Transactions_View!$E$2:$E$548,Transactions_View!$C$2:$C$548,A38,Transactions_View!$G$2:$G$548,"failed")</f>
        <v/>
      </c>
      <c r="F38" s="2">
        <f>COUNTIFS(Transactions_View!$C$2:$C$548,A38,Transactions_View!$G$2:$G$548,"failed")</f>
        <v/>
      </c>
      <c r="G38" s="8">
        <f>SUMIFS(Transactions_View!$E$2:$E$548,Transactions_View!$C$2:$C$548,A38,Transactions_View!$G$2:$G$548,"chargeback")</f>
        <v/>
      </c>
      <c r="H38" s="2">
        <f>COUNTIFS(Transactions_View!$C$2:$C$548,A38,Transactions_View!$G$2:$G$548,"chargeback")</f>
        <v/>
      </c>
      <c r="I38" s="8">
        <f>C38+E38+G38</f>
        <v/>
      </c>
      <c r="J38" s="2">
        <f>D38+F38+H38</f>
        <v/>
      </c>
    </row>
    <row r="39">
      <c r="A39" s="2" t="n">
        <v>37</v>
      </c>
      <c r="B39" s="2">
        <f>IFERROR(VLOOKUP(A39,Merchants!$A$2:$D$41,2,FALSE),"Merchant not found")</f>
        <v/>
      </c>
      <c r="C39" s="8">
        <f>SUMIFS(Transactions_View!$E$2:$E$548,Transactions_View!$C$2:$C$548,A39,Transactions_View!$G$2:$G$548,"captured")</f>
        <v/>
      </c>
      <c r="D39" s="2">
        <f>COUNTIFS(Transactions_View!$C$2:$C$548,A39,Transactions_View!$G$2:$G$548,"captured")</f>
        <v/>
      </c>
      <c r="E39" s="8">
        <f>SUMIFS(Transactions_View!$E$2:$E$548,Transactions_View!$C$2:$C$548,A39,Transactions_View!$G$2:$G$548,"failed")</f>
        <v/>
      </c>
      <c r="F39" s="2">
        <f>COUNTIFS(Transactions_View!$C$2:$C$548,A39,Transactions_View!$G$2:$G$548,"failed")</f>
        <v/>
      </c>
      <c r="G39" s="8">
        <f>SUMIFS(Transactions_View!$E$2:$E$548,Transactions_View!$C$2:$C$548,A39,Transactions_View!$G$2:$G$548,"chargeback")</f>
        <v/>
      </c>
      <c r="H39" s="2">
        <f>COUNTIFS(Transactions_View!$C$2:$C$548,A39,Transactions_View!$G$2:$G$548,"chargeback")</f>
        <v/>
      </c>
      <c r="I39" s="8">
        <f>C39+E39+G39</f>
        <v/>
      </c>
      <c r="J39" s="2">
        <f>D39+F39+H39</f>
        <v/>
      </c>
    </row>
    <row r="40">
      <c r="A40" s="2" t="n">
        <v>38</v>
      </c>
      <c r="B40" s="2">
        <f>IFERROR(VLOOKUP(A40,Merchants!$A$2:$D$41,2,FALSE),"Merchant not found")</f>
        <v/>
      </c>
      <c r="C40" s="8">
        <f>SUMIFS(Transactions_View!$E$2:$E$548,Transactions_View!$C$2:$C$548,A40,Transactions_View!$G$2:$G$548,"captured")</f>
        <v/>
      </c>
      <c r="D40" s="2">
        <f>COUNTIFS(Transactions_View!$C$2:$C$548,A40,Transactions_View!$G$2:$G$548,"captured")</f>
        <v/>
      </c>
      <c r="E40" s="8">
        <f>SUMIFS(Transactions_View!$E$2:$E$548,Transactions_View!$C$2:$C$548,A40,Transactions_View!$G$2:$G$548,"failed")</f>
        <v/>
      </c>
      <c r="F40" s="2">
        <f>COUNTIFS(Transactions_View!$C$2:$C$548,A40,Transactions_View!$G$2:$G$548,"failed")</f>
        <v/>
      </c>
      <c r="G40" s="8">
        <f>SUMIFS(Transactions_View!$E$2:$E$548,Transactions_View!$C$2:$C$548,A40,Transactions_View!$G$2:$G$548,"chargeback")</f>
        <v/>
      </c>
      <c r="H40" s="2">
        <f>COUNTIFS(Transactions_View!$C$2:$C$548,A40,Transactions_View!$G$2:$G$548,"chargeback")</f>
        <v/>
      </c>
      <c r="I40" s="8">
        <f>C40+E40+G40</f>
        <v/>
      </c>
      <c r="J40" s="2">
        <f>D40+F40+H40</f>
        <v/>
      </c>
    </row>
    <row r="41">
      <c r="A41" s="2" t="n">
        <v>39</v>
      </c>
      <c r="B41" s="2">
        <f>IFERROR(VLOOKUP(A41,Merchants!$A$2:$D$41,2,FALSE),"Merchant not found")</f>
        <v/>
      </c>
      <c r="C41" s="8">
        <f>SUMIFS(Transactions_View!$E$2:$E$548,Transactions_View!$C$2:$C$548,A41,Transactions_View!$G$2:$G$548,"captured")</f>
        <v/>
      </c>
      <c r="D41" s="2">
        <f>COUNTIFS(Transactions_View!$C$2:$C$548,A41,Transactions_View!$G$2:$G$548,"captured")</f>
        <v/>
      </c>
      <c r="E41" s="8">
        <f>SUMIFS(Transactions_View!$E$2:$E$548,Transactions_View!$C$2:$C$548,A41,Transactions_View!$G$2:$G$548,"failed")</f>
        <v/>
      </c>
      <c r="F41" s="2">
        <f>COUNTIFS(Transactions_View!$C$2:$C$548,A41,Transactions_View!$G$2:$G$548,"failed")</f>
        <v/>
      </c>
      <c r="G41" s="8">
        <f>SUMIFS(Transactions_View!$E$2:$E$548,Transactions_View!$C$2:$C$548,A41,Transactions_View!$G$2:$G$548,"chargeback")</f>
        <v/>
      </c>
      <c r="H41" s="2">
        <f>COUNTIFS(Transactions_View!$C$2:$C$548,A41,Transactions_View!$G$2:$G$548,"chargeback")</f>
        <v/>
      </c>
      <c r="I41" s="8">
        <f>C41+E41+G41</f>
        <v/>
      </c>
      <c r="J41" s="2">
        <f>D41+F41+H41</f>
        <v/>
      </c>
    </row>
    <row r="42">
      <c r="A42" s="2" t="n">
        <v>40</v>
      </c>
      <c r="B42" s="2">
        <f>IFERROR(VLOOKUP(A42,Merchants!$A$2:$D$41,2,FALSE),"Merchant not found")</f>
        <v/>
      </c>
      <c r="C42" s="8">
        <f>SUMIFS(Transactions_View!$E$2:$E$548,Transactions_View!$C$2:$C$548,A42,Transactions_View!$G$2:$G$548,"captured")</f>
        <v/>
      </c>
      <c r="D42" s="2">
        <f>COUNTIFS(Transactions_View!$C$2:$C$548,A42,Transactions_View!$G$2:$G$548,"captured")</f>
        <v/>
      </c>
      <c r="E42" s="8">
        <f>SUMIFS(Transactions_View!$E$2:$E$548,Transactions_View!$C$2:$C$548,A42,Transactions_View!$G$2:$G$548,"failed")</f>
        <v/>
      </c>
      <c r="F42" s="2">
        <f>COUNTIFS(Transactions_View!$C$2:$C$548,A42,Transactions_View!$G$2:$G$548,"failed")</f>
        <v/>
      </c>
      <c r="G42" s="8">
        <f>SUMIFS(Transactions_View!$E$2:$E$548,Transactions_View!$C$2:$C$548,A42,Transactions_View!$G$2:$G$548,"chargeback")</f>
        <v/>
      </c>
      <c r="H42" s="2">
        <f>COUNTIFS(Transactions_View!$C$2:$C$548,A42,Transactions_View!$G$2:$G$548,"chargeback")</f>
        <v/>
      </c>
      <c r="I42" s="8">
        <f>C42+E42+G42</f>
        <v/>
      </c>
      <c r="J42" s="2">
        <f>D42+F42+H42</f>
        <v/>
      </c>
    </row>
    <row r="45">
      <c r="A45" s="10" t="inlineStr">
        <is>
          <t>Section 2 - Transaction count vs. unique transaction days, per merchant</t>
        </is>
      </c>
    </row>
    <row r="46">
      <c r="A46" s="3" t="inlineStr">
        <is>
          <t>merchant_id</t>
        </is>
      </c>
      <c r="B46" s="3" t="inlineStr">
        <is>
          <t>merchant_name</t>
        </is>
      </c>
      <c r="C46" s="3" t="inlineStr">
        <is>
          <t>total_transaction_count</t>
        </is>
      </c>
      <c r="D46" s="3" t="inlineStr">
        <is>
          <t>unique_transaction_days</t>
        </is>
      </c>
      <c r="E46" s="3" t="inlineStr">
        <is>
          <t>avg_txns_per_active_day</t>
        </is>
      </c>
    </row>
    <row r="47">
      <c r="A47" s="2" t="n">
        <v>1</v>
      </c>
      <c r="B47" s="2">
        <f>IFERROR(VLOOKUP(A47,Merchants!$A$2:$D$41,2,FALSE),"Merchant not found")</f>
        <v/>
      </c>
      <c r="C47" s="2">
        <f>COUNTIF(Transactions_View!$C$2:$C$548,A47)</f>
        <v/>
      </c>
      <c r="D47" s="2">
        <f>COUNTIF(Daily_Merchant!$A$2:$A$444,A47)</f>
        <v/>
      </c>
      <c r="E47" s="11">
        <f>IFERROR(C47/D47,0)</f>
        <v/>
      </c>
    </row>
    <row r="48">
      <c r="A48" s="2" t="n">
        <v>2</v>
      </c>
      <c r="B48" s="2">
        <f>IFERROR(VLOOKUP(A48,Merchants!$A$2:$D$41,2,FALSE),"Merchant not found")</f>
        <v/>
      </c>
      <c r="C48" s="2">
        <f>COUNTIF(Transactions_View!$C$2:$C$548,A48)</f>
        <v/>
      </c>
      <c r="D48" s="2">
        <f>COUNTIF(Daily_Merchant!$A$2:$A$444,A48)</f>
        <v/>
      </c>
      <c r="E48" s="11">
        <f>IFERROR(C48/D48,0)</f>
        <v/>
      </c>
    </row>
    <row r="49">
      <c r="A49" s="2" t="n">
        <v>3</v>
      </c>
      <c r="B49" s="2">
        <f>IFERROR(VLOOKUP(A49,Merchants!$A$2:$D$41,2,FALSE),"Merchant not found")</f>
        <v/>
      </c>
      <c r="C49" s="2">
        <f>COUNTIF(Transactions_View!$C$2:$C$548,A49)</f>
        <v/>
      </c>
      <c r="D49" s="2">
        <f>COUNTIF(Daily_Merchant!$A$2:$A$444,A49)</f>
        <v/>
      </c>
      <c r="E49" s="11">
        <f>IFERROR(C49/D49,0)</f>
        <v/>
      </c>
    </row>
    <row r="50">
      <c r="A50" s="2" t="n">
        <v>4</v>
      </c>
      <c r="B50" s="2">
        <f>IFERROR(VLOOKUP(A50,Merchants!$A$2:$D$41,2,FALSE),"Merchant not found")</f>
        <v/>
      </c>
      <c r="C50" s="2">
        <f>COUNTIF(Transactions_View!$C$2:$C$548,A50)</f>
        <v/>
      </c>
      <c r="D50" s="2">
        <f>COUNTIF(Daily_Merchant!$A$2:$A$444,A50)</f>
        <v/>
      </c>
      <c r="E50" s="11">
        <f>IFERROR(C50/D50,0)</f>
        <v/>
      </c>
    </row>
    <row r="51">
      <c r="A51" s="2" t="n">
        <v>5</v>
      </c>
      <c r="B51" s="2">
        <f>IFERROR(VLOOKUP(A51,Merchants!$A$2:$D$41,2,FALSE),"Merchant not found")</f>
        <v/>
      </c>
      <c r="C51" s="2">
        <f>COUNTIF(Transactions_View!$C$2:$C$548,A51)</f>
        <v/>
      </c>
      <c r="D51" s="2">
        <f>COUNTIF(Daily_Merchant!$A$2:$A$444,A51)</f>
        <v/>
      </c>
      <c r="E51" s="11">
        <f>IFERROR(C51/D51,0)</f>
        <v/>
      </c>
    </row>
    <row r="52">
      <c r="A52" s="2" t="n">
        <v>6</v>
      </c>
      <c r="B52" s="2">
        <f>IFERROR(VLOOKUP(A52,Merchants!$A$2:$D$41,2,FALSE),"Merchant not found")</f>
        <v/>
      </c>
      <c r="C52" s="2">
        <f>COUNTIF(Transactions_View!$C$2:$C$548,A52)</f>
        <v/>
      </c>
      <c r="D52" s="2">
        <f>COUNTIF(Daily_Merchant!$A$2:$A$444,A52)</f>
        <v/>
      </c>
      <c r="E52" s="11">
        <f>IFERROR(C52/D52,0)</f>
        <v/>
      </c>
    </row>
    <row r="53">
      <c r="A53" s="2" t="n">
        <v>7</v>
      </c>
      <c r="B53" s="2">
        <f>IFERROR(VLOOKUP(A53,Merchants!$A$2:$D$41,2,FALSE),"Merchant not found")</f>
        <v/>
      </c>
      <c r="C53" s="2">
        <f>COUNTIF(Transactions_View!$C$2:$C$548,A53)</f>
        <v/>
      </c>
      <c r="D53" s="2">
        <f>COUNTIF(Daily_Merchant!$A$2:$A$444,A53)</f>
        <v/>
      </c>
      <c r="E53" s="11">
        <f>IFERROR(C53/D53,0)</f>
        <v/>
      </c>
    </row>
    <row r="54">
      <c r="A54" s="2" t="n">
        <v>8</v>
      </c>
      <c r="B54" s="2">
        <f>IFERROR(VLOOKUP(A54,Merchants!$A$2:$D$41,2,FALSE),"Merchant not found")</f>
        <v/>
      </c>
      <c r="C54" s="2">
        <f>COUNTIF(Transactions_View!$C$2:$C$548,A54)</f>
        <v/>
      </c>
      <c r="D54" s="2">
        <f>COUNTIF(Daily_Merchant!$A$2:$A$444,A54)</f>
        <v/>
      </c>
      <c r="E54" s="11">
        <f>IFERROR(C54/D54,0)</f>
        <v/>
      </c>
    </row>
    <row r="55">
      <c r="A55" s="2" t="n">
        <v>9</v>
      </c>
      <c r="B55" s="2">
        <f>IFERROR(VLOOKUP(A55,Merchants!$A$2:$D$41,2,FALSE),"Merchant not found")</f>
        <v/>
      </c>
      <c r="C55" s="2">
        <f>COUNTIF(Transactions_View!$C$2:$C$548,A55)</f>
        <v/>
      </c>
      <c r="D55" s="2">
        <f>COUNTIF(Daily_Merchant!$A$2:$A$444,A55)</f>
        <v/>
      </c>
      <c r="E55" s="11">
        <f>IFERROR(C55/D55,0)</f>
        <v/>
      </c>
    </row>
    <row r="56">
      <c r="A56" s="2" t="n">
        <v>10</v>
      </c>
      <c r="B56" s="2">
        <f>IFERROR(VLOOKUP(A56,Merchants!$A$2:$D$41,2,FALSE),"Merchant not found")</f>
        <v/>
      </c>
      <c r="C56" s="2">
        <f>COUNTIF(Transactions_View!$C$2:$C$548,A56)</f>
        <v/>
      </c>
      <c r="D56" s="2">
        <f>COUNTIF(Daily_Merchant!$A$2:$A$444,A56)</f>
        <v/>
      </c>
      <c r="E56" s="11">
        <f>IFERROR(C56/D56,0)</f>
        <v/>
      </c>
    </row>
    <row r="57">
      <c r="A57" s="2" t="n">
        <v>11</v>
      </c>
      <c r="B57" s="2">
        <f>IFERROR(VLOOKUP(A57,Merchants!$A$2:$D$41,2,FALSE),"Merchant not found")</f>
        <v/>
      </c>
      <c r="C57" s="2">
        <f>COUNTIF(Transactions_View!$C$2:$C$548,A57)</f>
        <v/>
      </c>
      <c r="D57" s="2">
        <f>COUNTIF(Daily_Merchant!$A$2:$A$444,A57)</f>
        <v/>
      </c>
      <c r="E57" s="11">
        <f>IFERROR(C57/D57,0)</f>
        <v/>
      </c>
    </row>
    <row r="58">
      <c r="A58" s="2" t="n">
        <v>12</v>
      </c>
      <c r="B58" s="2">
        <f>IFERROR(VLOOKUP(A58,Merchants!$A$2:$D$41,2,FALSE),"Merchant not found")</f>
        <v/>
      </c>
      <c r="C58" s="2">
        <f>COUNTIF(Transactions_View!$C$2:$C$548,A58)</f>
        <v/>
      </c>
      <c r="D58" s="2">
        <f>COUNTIF(Daily_Merchant!$A$2:$A$444,A58)</f>
        <v/>
      </c>
      <c r="E58" s="11">
        <f>IFERROR(C58/D58,0)</f>
        <v/>
      </c>
    </row>
    <row r="59">
      <c r="A59" s="2" t="n">
        <v>13</v>
      </c>
      <c r="B59" s="2">
        <f>IFERROR(VLOOKUP(A59,Merchants!$A$2:$D$41,2,FALSE),"Merchant not found")</f>
        <v/>
      </c>
      <c r="C59" s="2">
        <f>COUNTIF(Transactions_View!$C$2:$C$548,A59)</f>
        <v/>
      </c>
      <c r="D59" s="2">
        <f>COUNTIF(Daily_Merchant!$A$2:$A$444,A59)</f>
        <v/>
      </c>
      <c r="E59" s="11">
        <f>IFERROR(C59/D59,0)</f>
        <v/>
      </c>
    </row>
    <row r="60">
      <c r="A60" s="2" t="n">
        <v>14</v>
      </c>
      <c r="B60" s="2">
        <f>IFERROR(VLOOKUP(A60,Merchants!$A$2:$D$41,2,FALSE),"Merchant not found")</f>
        <v/>
      </c>
      <c r="C60" s="2">
        <f>COUNTIF(Transactions_View!$C$2:$C$548,A60)</f>
        <v/>
      </c>
      <c r="D60" s="2">
        <f>COUNTIF(Daily_Merchant!$A$2:$A$444,A60)</f>
        <v/>
      </c>
      <c r="E60" s="11">
        <f>IFERROR(C60/D60,0)</f>
        <v/>
      </c>
    </row>
    <row r="61">
      <c r="A61" s="2" t="n">
        <v>15</v>
      </c>
      <c r="B61" s="2">
        <f>IFERROR(VLOOKUP(A61,Merchants!$A$2:$D$41,2,FALSE),"Merchant not found")</f>
        <v/>
      </c>
      <c r="C61" s="2">
        <f>COUNTIF(Transactions_View!$C$2:$C$548,A61)</f>
        <v/>
      </c>
      <c r="D61" s="2">
        <f>COUNTIF(Daily_Merchant!$A$2:$A$444,A61)</f>
        <v/>
      </c>
      <c r="E61" s="11">
        <f>IFERROR(C61/D61,0)</f>
        <v/>
      </c>
    </row>
    <row r="62">
      <c r="A62" s="2" t="n">
        <v>16</v>
      </c>
      <c r="B62" s="2">
        <f>IFERROR(VLOOKUP(A62,Merchants!$A$2:$D$41,2,FALSE),"Merchant not found")</f>
        <v/>
      </c>
      <c r="C62" s="2">
        <f>COUNTIF(Transactions_View!$C$2:$C$548,A62)</f>
        <v/>
      </c>
      <c r="D62" s="2">
        <f>COUNTIF(Daily_Merchant!$A$2:$A$444,A62)</f>
        <v/>
      </c>
      <c r="E62" s="11">
        <f>IFERROR(C62/D62,0)</f>
        <v/>
      </c>
    </row>
    <row r="63">
      <c r="A63" s="2" t="n">
        <v>17</v>
      </c>
      <c r="B63" s="2">
        <f>IFERROR(VLOOKUP(A63,Merchants!$A$2:$D$41,2,FALSE),"Merchant not found")</f>
        <v/>
      </c>
      <c r="C63" s="2">
        <f>COUNTIF(Transactions_View!$C$2:$C$548,A63)</f>
        <v/>
      </c>
      <c r="D63" s="2">
        <f>COUNTIF(Daily_Merchant!$A$2:$A$444,A63)</f>
        <v/>
      </c>
      <c r="E63" s="11">
        <f>IFERROR(C63/D63,0)</f>
        <v/>
      </c>
    </row>
    <row r="64">
      <c r="A64" s="2" t="n">
        <v>18</v>
      </c>
      <c r="B64" s="2">
        <f>IFERROR(VLOOKUP(A64,Merchants!$A$2:$D$41,2,FALSE),"Merchant not found")</f>
        <v/>
      </c>
      <c r="C64" s="2">
        <f>COUNTIF(Transactions_View!$C$2:$C$548,A64)</f>
        <v/>
      </c>
      <c r="D64" s="2">
        <f>COUNTIF(Daily_Merchant!$A$2:$A$444,A64)</f>
        <v/>
      </c>
      <c r="E64" s="11">
        <f>IFERROR(C64/D64,0)</f>
        <v/>
      </c>
    </row>
    <row r="65">
      <c r="A65" s="2" t="n">
        <v>19</v>
      </c>
      <c r="B65" s="2">
        <f>IFERROR(VLOOKUP(A65,Merchants!$A$2:$D$41,2,FALSE),"Merchant not found")</f>
        <v/>
      </c>
      <c r="C65" s="2">
        <f>COUNTIF(Transactions_View!$C$2:$C$548,A65)</f>
        <v/>
      </c>
      <c r="D65" s="2">
        <f>COUNTIF(Daily_Merchant!$A$2:$A$444,A65)</f>
        <v/>
      </c>
      <c r="E65" s="11">
        <f>IFERROR(C65/D65,0)</f>
        <v/>
      </c>
    </row>
    <row r="66">
      <c r="A66" s="2" t="n">
        <v>20</v>
      </c>
      <c r="B66" s="2">
        <f>IFERROR(VLOOKUP(A66,Merchants!$A$2:$D$41,2,FALSE),"Merchant not found")</f>
        <v/>
      </c>
      <c r="C66" s="2">
        <f>COUNTIF(Transactions_View!$C$2:$C$548,A66)</f>
        <v/>
      </c>
      <c r="D66" s="2">
        <f>COUNTIF(Daily_Merchant!$A$2:$A$444,A66)</f>
        <v/>
      </c>
      <c r="E66" s="11">
        <f>IFERROR(C66/D66,0)</f>
        <v/>
      </c>
    </row>
    <row r="67">
      <c r="A67" s="2" t="n">
        <v>21</v>
      </c>
      <c r="B67" s="2">
        <f>IFERROR(VLOOKUP(A67,Merchants!$A$2:$D$41,2,FALSE),"Merchant not found")</f>
        <v/>
      </c>
      <c r="C67" s="2">
        <f>COUNTIF(Transactions_View!$C$2:$C$548,A67)</f>
        <v/>
      </c>
      <c r="D67" s="2">
        <f>COUNTIF(Daily_Merchant!$A$2:$A$444,A67)</f>
        <v/>
      </c>
      <c r="E67" s="11">
        <f>IFERROR(C67/D67,0)</f>
        <v/>
      </c>
    </row>
    <row r="68">
      <c r="A68" s="2" t="n">
        <v>22</v>
      </c>
      <c r="B68" s="2">
        <f>IFERROR(VLOOKUP(A68,Merchants!$A$2:$D$41,2,FALSE),"Merchant not found")</f>
        <v/>
      </c>
      <c r="C68" s="2">
        <f>COUNTIF(Transactions_View!$C$2:$C$548,A68)</f>
        <v/>
      </c>
      <c r="D68" s="2">
        <f>COUNTIF(Daily_Merchant!$A$2:$A$444,A68)</f>
        <v/>
      </c>
      <c r="E68" s="11">
        <f>IFERROR(C68/D68,0)</f>
        <v/>
      </c>
    </row>
    <row r="69">
      <c r="A69" s="2" t="n">
        <v>23</v>
      </c>
      <c r="B69" s="2">
        <f>IFERROR(VLOOKUP(A69,Merchants!$A$2:$D$41,2,FALSE),"Merchant not found")</f>
        <v/>
      </c>
      <c r="C69" s="2">
        <f>COUNTIF(Transactions_View!$C$2:$C$548,A69)</f>
        <v/>
      </c>
      <c r="D69" s="2">
        <f>COUNTIF(Daily_Merchant!$A$2:$A$444,A69)</f>
        <v/>
      </c>
      <c r="E69" s="11">
        <f>IFERROR(C69/D69,0)</f>
        <v/>
      </c>
    </row>
    <row r="70">
      <c r="A70" s="2" t="n">
        <v>24</v>
      </c>
      <c r="B70" s="2">
        <f>IFERROR(VLOOKUP(A70,Merchants!$A$2:$D$41,2,FALSE),"Merchant not found")</f>
        <v/>
      </c>
      <c r="C70" s="2">
        <f>COUNTIF(Transactions_View!$C$2:$C$548,A70)</f>
        <v/>
      </c>
      <c r="D70" s="2">
        <f>COUNTIF(Daily_Merchant!$A$2:$A$444,A70)</f>
        <v/>
      </c>
      <c r="E70" s="11">
        <f>IFERROR(C70/D70,0)</f>
        <v/>
      </c>
    </row>
    <row r="71">
      <c r="A71" s="2" t="n">
        <v>25</v>
      </c>
      <c r="B71" s="2">
        <f>IFERROR(VLOOKUP(A71,Merchants!$A$2:$D$41,2,FALSE),"Merchant not found")</f>
        <v/>
      </c>
      <c r="C71" s="2">
        <f>COUNTIF(Transactions_View!$C$2:$C$548,A71)</f>
        <v/>
      </c>
      <c r="D71" s="2">
        <f>COUNTIF(Daily_Merchant!$A$2:$A$444,A71)</f>
        <v/>
      </c>
      <c r="E71" s="11">
        <f>IFERROR(C71/D71,0)</f>
        <v/>
      </c>
    </row>
    <row r="72">
      <c r="A72" s="2" t="n">
        <v>26</v>
      </c>
      <c r="B72" s="2">
        <f>IFERROR(VLOOKUP(A72,Merchants!$A$2:$D$41,2,FALSE),"Merchant not found")</f>
        <v/>
      </c>
      <c r="C72" s="2">
        <f>COUNTIF(Transactions_View!$C$2:$C$548,A72)</f>
        <v/>
      </c>
      <c r="D72" s="2">
        <f>COUNTIF(Daily_Merchant!$A$2:$A$444,A72)</f>
        <v/>
      </c>
      <c r="E72" s="11">
        <f>IFERROR(C72/D72,0)</f>
        <v/>
      </c>
    </row>
    <row r="73">
      <c r="A73" s="2" t="n">
        <v>27</v>
      </c>
      <c r="B73" s="2">
        <f>IFERROR(VLOOKUP(A73,Merchants!$A$2:$D$41,2,FALSE),"Merchant not found")</f>
        <v/>
      </c>
      <c r="C73" s="2">
        <f>COUNTIF(Transactions_View!$C$2:$C$548,A73)</f>
        <v/>
      </c>
      <c r="D73" s="2">
        <f>COUNTIF(Daily_Merchant!$A$2:$A$444,A73)</f>
        <v/>
      </c>
      <c r="E73" s="11">
        <f>IFERROR(C73/D73,0)</f>
        <v/>
      </c>
    </row>
    <row r="74">
      <c r="A74" s="2" t="n">
        <v>28</v>
      </c>
      <c r="B74" s="2">
        <f>IFERROR(VLOOKUP(A74,Merchants!$A$2:$D$41,2,FALSE),"Merchant not found")</f>
        <v/>
      </c>
      <c r="C74" s="2">
        <f>COUNTIF(Transactions_View!$C$2:$C$548,A74)</f>
        <v/>
      </c>
      <c r="D74" s="2">
        <f>COUNTIF(Daily_Merchant!$A$2:$A$444,A74)</f>
        <v/>
      </c>
      <c r="E74" s="11">
        <f>IFERROR(C74/D74,0)</f>
        <v/>
      </c>
    </row>
    <row r="75">
      <c r="A75" s="2" t="n">
        <v>29</v>
      </c>
      <c r="B75" s="2">
        <f>IFERROR(VLOOKUP(A75,Merchants!$A$2:$D$41,2,FALSE),"Merchant not found")</f>
        <v/>
      </c>
      <c r="C75" s="2">
        <f>COUNTIF(Transactions_View!$C$2:$C$548,A75)</f>
        <v/>
      </c>
      <c r="D75" s="2">
        <f>COUNTIF(Daily_Merchant!$A$2:$A$444,A75)</f>
        <v/>
      </c>
      <c r="E75" s="11">
        <f>IFERROR(C75/D75,0)</f>
        <v/>
      </c>
    </row>
    <row r="76">
      <c r="A76" s="2" t="n">
        <v>30</v>
      </c>
      <c r="B76" s="2">
        <f>IFERROR(VLOOKUP(A76,Merchants!$A$2:$D$41,2,FALSE),"Merchant not found")</f>
        <v/>
      </c>
      <c r="C76" s="2">
        <f>COUNTIF(Transactions_View!$C$2:$C$548,A76)</f>
        <v/>
      </c>
      <c r="D76" s="2">
        <f>COUNTIF(Daily_Merchant!$A$2:$A$444,A76)</f>
        <v/>
      </c>
      <c r="E76" s="11">
        <f>IFERROR(C76/D76,0)</f>
        <v/>
      </c>
    </row>
    <row r="77">
      <c r="A77" s="2" t="n">
        <v>31</v>
      </c>
      <c r="B77" s="2">
        <f>IFERROR(VLOOKUP(A77,Merchants!$A$2:$D$41,2,FALSE),"Merchant not found")</f>
        <v/>
      </c>
      <c r="C77" s="2">
        <f>COUNTIF(Transactions_View!$C$2:$C$548,A77)</f>
        <v/>
      </c>
      <c r="D77" s="2">
        <f>COUNTIF(Daily_Merchant!$A$2:$A$444,A77)</f>
        <v/>
      </c>
      <c r="E77" s="11">
        <f>IFERROR(C77/D77,0)</f>
        <v/>
      </c>
    </row>
    <row r="78">
      <c r="A78" s="2" t="n">
        <v>32</v>
      </c>
      <c r="B78" s="2">
        <f>IFERROR(VLOOKUP(A78,Merchants!$A$2:$D$41,2,FALSE),"Merchant not found")</f>
        <v/>
      </c>
      <c r="C78" s="2">
        <f>COUNTIF(Transactions_View!$C$2:$C$548,A78)</f>
        <v/>
      </c>
      <c r="D78" s="2">
        <f>COUNTIF(Daily_Merchant!$A$2:$A$444,A78)</f>
        <v/>
      </c>
      <c r="E78" s="11">
        <f>IFERROR(C78/D78,0)</f>
        <v/>
      </c>
    </row>
    <row r="79">
      <c r="A79" s="2" t="n">
        <v>33</v>
      </c>
      <c r="B79" s="2">
        <f>IFERROR(VLOOKUP(A79,Merchants!$A$2:$D$41,2,FALSE),"Merchant not found")</f>
        <v/>
      </c>
      <c r="C79" s="2">
        <f>COUNTIF(Transactions_View!$C$2:$C$548,A79)</f>
        <v/>
      </c>
      <c r="D79" s="2">
        <f>COUNTIF(Daily_Merchant!$A$2:$A$444,A79)</f>
        <v/>
      </c>
      <c r="E79" s="11">
        <f>IFERROR(C79/D79,0)</f>
        <v/>
      </c>
    </row>
    <row r="80">
      <c r="A80" s="2" t="n">
        <v>34</v>
      </c>
      <c r="B80" s="2">
        <f>IFERROR(VLOOKUP(A80,Merchants!$A$2:$D$41,2,FALSE),"Merchant not found")</f>
        <v/>
      </c>
      <c r="C80" s="2">
        <f>COUNTIF(Transactions_View!$C$2:$C$548,A80)</f>
        <v/>
      </c>
      <c r="D80" s="2">
        <f>COUNTIF(Daily_Merchant!$A$2:$A$444,A80)</f>
        <v/>
      </c>
      <c r="E80" s="11">
        <f>IFERROR(C80/D80,0)</f>
        <v/>
      </c>
    </row>
    <row r="81">
      <c r="A81" s="2" t="n">
        <v>35</v>
      </c>
      <c r="B81" s="2">
        <f>IFERROR(VLOOKUP(A81,Merchants!$A$2:$D$41,2,FALSE),"Merchant not found")</f>
        <v/>
      </c>
      <c r="C81" s="2">
        <f>COUNTIF(Transactions_View!$C$2:$C$548,A81)</f>
        <v/>
      </c>
      <c r="D81" s="2">
        <f>COUNTIF(Daily_Merchant!$A$2:$A$444,A81)</f>
        <v/>
      </c>
      <c r="E81" s="11">
        <f>IFERROR(C81/D81,0)</f>
        <v/>
      </c>
    </row>
    <row r="82">
      <c r="A82" s="2" t="n">
        <v>36</v>
      </c>
      <c r="B82" s="2">
        <f>IFERROR(VLOOKUP(A82,Merchants!$A$2:$D$41,2,FALSE),"Merchant not found")</f>
        <v/>
      </c>
      <c r="C82" s="2">
        <f>COUNTIF(Transactions_View!$C$2:$C$548,A82)</f>
        <v/>
      </c>
      <c r="D82" s="2">
        <f>COUNTIF(Daily_Merchant!$A$2:$A$444,A82)</f>
        <v/>
      </c>
      <c r="E82" s="11">
        <f>IFERROR(C82/D82,0)</f>
        <v/>
      </c>
    </row>
    <row r="83">
      <c r="A83" s="2" t="n">
        <v>37</v>
      </c>
      <c r="B83" s="2">
        <f>IFERROR(VLOOKUP(A83,Merchants!$A$2:$D$41,2,FALSE),"Merchant not found")</f>
        <v/>
      </c>
      <c r="C83" s="2">
        <f>COUNTIF(Transactions_View!$C$2:$C$548,A83)</f>
        <v/>
      </c>
      <c r="D83" s="2">
        <f>COUNTIF(Daily_Merchant!$A$2:$A$444,A83)</f>
        <v/>
      </c>
      <c r="E83" s="11">
        <f>IFERROR(C83/D83,0)</f>
        <v/>
      </c>
    </row>
    <row r="84">
      <c r="A84" s="2" t="n">
        <v>38</v>
      </c>
      <c r="B84" s="2">
        <f>IFERROR(VLOOKUP(A84,Merchants!$A$2:$D$41,2,FALSE),"Merchant not found")</f>
        <v/>
      </c>
      <c r="C84" s="2">
        <f>COUNTIF(Transactions_View!$C$2:$C$548,A84)</f>
        <v/>
      </c>
      <c r="D84" s="2">
        <f>COUNTIF(Daily_Merchant!$A$2:$A$444,A84)</f>
        <v/>
      </c>
      <c r="E84" s="11">
        <f>IFERROR(C84/D84,0)</f>
        <v/>
      </c>
    </row>
    <row r="85">
      <c r="A85" s="2" t="n">
        <v>39</v>
      </c>
      <c r="B85" s="2">
        <f>IFERROR(VLOOKUP(A85,Merchants!$A$2:$D$41,2,FALSE),"Merchant not found")</f>
        <v/>
      </c>
      <c r="C85" s="2">
        <f>COUNTIF(Transactions_View!$C$2:$C$548,A85)</f>
        <v/>
      </c>
      <c r="D85" s="2">
        <f>COUNTIF(Daily_Merchant!$A$2:$A$444,A85)</f>
        <v/>
      </c>
      <c r="E85" s="11">
        <f>IFERROR(C85/D85,0)</f>
        <v/>
      </c>
    </row>
    <row r="86">
      <c r="A86" s="2" t="n">
        <v>40</v>
      </c>
      <c r="B86" s="2">
        <f>IFERROR(VLOOKUP(A86,Merchants!$A$2:$D$41,2,FALSE),"Merchant not found")</f>
        <v/>
      </c>
      <c r="C86" s="2">
        <f>COUNTIF(Transactions_View!$C$2:$C$548,A86)</f>
        <v/>
      </c>
      <c r="D86" s="2">
        <f>COUNTIF(Daily_Merchant!$A$2:$A$444,A86)</f>
        <v/>
      </c>
      <c r="E86" s="11">
        <f>IFERROR(C86/D86,0)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2026-09-02T15:08:57Z</dcterms:created>
  <dcterms:modified xmlns:dcterms="http://purl.org/dc/terms/" xmlns:xsi="http://www.w3.org/2001/XMLSchema-instance" xsi:type="dcterms:W3CDTF">2026-09-02T15:08:58Z</dcterms:modified>
</cp:coreProperties>
</file>